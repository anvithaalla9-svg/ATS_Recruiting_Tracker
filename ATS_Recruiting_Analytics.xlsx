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3"/>
    <sheet name="Job Openings" sheetId="2" state="visible" r:id="rId4"/>
    <sheet name="Metrics Dashboard" sheetId="3" state="visible" r:id="rId5"/>
    <sheet name="Stage Duration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<sst xmlns="http://schemas.openxmlformats.org/spreadsheetml/2006/main" count="987" uniqueCount="319">
  <si>
    <t xml:space="preserve">CandidateID</t>
  </si>
  <si>
    <t xml:space="preserve">Name</t>
  </si>
  <si>
    <t xml:space="preserve">JobOpeningID</t>
  </si>
  <si>
    <t xml:space="preserve">Source</t>
  </si>
  <si>
    <t xml:space="preserve">Recruiter</t>
  </si>
  <si>
    <t xml:space="preserve">ApplicationDate</t>
  </si>
  <si>
    <t xml:space="preserve">RecruiterReviewDate</t>
  </si>
  <si>
    <t xml:space="preserve">ScreeningDate</t>
  </si>
  <si>
    <t xml:space="preserve">InterviewScheduledDate</t>
  </si>
  <si>
    <t xml:space="preserve">InterviewCompletedDate</t>
  </si>
  <si>
    <t xml:space="preserve">OfferDate</t>
  </si>
  <si>
    <t xml:space="preserve">OfferResponse</t>
  </si>
  <si>
    <t xml:space="preserve">OfferResponseDate</t>
  </si>
  <si>
    <t xml:space="preserve">BackgroundCheckDate</t>
  </si>
  <si>
    <t xml:space="preserve">HireDate</t>
  </si>
  <si>
    <t xml:space="preserve">CurrentStage</t>
  </si>
  <si>
    <t xml:space="preserve">FinalStatus</t>
  </si>
  <si>
    <t xml:space="preserve">RejectionStage</t>
  </si>
  <si>
    <t xml:space="preserve">RejectionReason</t>
  </si>
  <si>
    <t xml:space="preserve">Gap_F_G</t>
  </si>
  <si>
    <t xml:space="preserve">Gap_G_H</t>
  </si>
  <si>
    <t xml:space="preserve">Gap_H_I</t>
  </si>
  <si>
    <t xml:space="preserve">Gap_I_J</t>
  </si>
  <si>
    <t xml:space="preserve">Gap_J_K</t>
  </si>
  <si>
    <t xml:space="preserve">Gap_K_M</t>
  </si>
  <si>
    <t xml:space="preserve">Gap_M_N</t>
  </si>
  <si>
    <t xml:space="preserve">Gap_N_O</t>
  </si>
  <si>
    <t xml:space="preserve">CAND-0001</t>
  </si>
  <si>
    <t xml:space="preserve">Hayden Jackson</t>
  </si>
  <si>
    <t xml:space="preserve">JO-01</t>
  </si>
  <si>
    <t xml:space="preserve">LinkedIn</t>
  </si>
  <si>
    <t xml:space="preserve">J. Alvarez</t>
  </si>
  <si>
    <t xml:space="preserve">Rejected</t>
  </si>
  <si>
    <t xml:space="preserve">Recruiter Review</t>
  </si>
  <si>
    <t xml:space="preserve">Resume mismatch</t>
  </si>
  <si>
    <t xml:space="preserve">CAND-0002</t>
  </si>
  <si>
    <t xml:space="preserve">Taylor Garcia</t>
  </si>
  <si>
    <t xml:space="preserve">Accepted</t>
  </si>
  <si>
    <t xml:space="preserve">Hired</t>
  </si>
  <si>
    <t xml:space="preserve">CAND-0003</t>
  </si>
  <si>
    <t xml:space="preserve">Sydney Brown</t>
  </si>
  <si>
    <t xml:space="preserve">Interview</t>
  </si>
  <si>
    <t xml:space="preserve">Failed technical assessment</t>
  </si>
  <si>
    <t xml:space="preserve">CAND-0004</t>
  </si>
  <si>
    <t xml:space="preserve">Elliot Taylor</t>
  </si>
  <si>
    <t xml:space="preserve">Indeed</t>
  </si>
  <si>
    <t xml:space="preserve">CAND-0005</t>
  </si>
  <si>
    <t xml:space="preserve">Avery Roberts</t>
  </si>
  <si>
    <t xml:space="preserve">Declined</t>
  </si>
  <si>
    <t xml:space="preserve">Offer</t>
  </si>
  <si>
    <t xml:space="preserve">Candidate withdrew</t>
  </si>
  <si>
    <t xml:space="preserve">CAND-0006</t>
  </si>
  <si>
    <t xml:space="preserve">Blake Thomas</t>
  </si>
  <si>
    <t xml:space="preserve">Underqualified</t>
  </si>
  <si>
    <t xml:space="preserve">CAND-0007</t>
  </si>
  <si>
    <t xml:space="preserve">Bailey White</t>
  </si>
  <si>
    <t xml:space="preserve">JO-02</t>
  </si>
  <si>
    <t xml:space="preserve">M. Chen</t>
  </si>
  <si>
    <t xml:space="preserve">CAND-0008</t>
  </si>
  <si>
    <t xml:space="preserve">Finley Adams</t>
  </si>
  <si>
    <t xml:space="preserve">Referral</t>
  </si>
  <si>
    <t xml:space="preserve">Not selected - other candidate</t>
  </si>
  <si>
    <t xml:space="preserve">CAND-0009</t>
  </si>
  <si>
    <t xml:space="preserve">Reagan Nguyen</t>
  </si>
  <si>
    <t xml:space="preserve">University Fair</t>
  </si>
  <si>
    <t xml:space="preserve">CAND-0010</t>
  </si>
  <si>
    <t xml:space="preserve">Jordan Davis</t>
  </si>
  <si>
    <t xml:space="preserve">Career Site</t>
  </si>
  <si>
    <t xml:space="preserve">Salary expectations too high</t>
  </si>
  <si>
    <t xml:space="preserve">CAND-0011</t>
  </si>
  <si>
    <t xml:space="preserve">Riley Patel</t>
  </si>
  <si>
    <t xml:space="preserve">CAND-0012</t>
  </si>
  <si>
    <t xml:space="preserve">Elliot Baker</t>
  </si>
  <si>
    <t xml:space="preserve">Interview no-show</t>
  </si>
  <si>
    <t xml:space="preserve">CAND-0013</t>
  </si>
  <si>
    <t xml:space="preserve">Morgan Moore</t>
  </si>
  <si>
    <t xml:space="preserve">CAND-0014</t>
  </si>
  <si>
    <t xml:space="preserve">Hayden Carter</t>
  </si>
  <si>
    <t xml:space="preserve">CAND-0015</t>
  </si>
  <si>
    <t xml:space="preserve">Morgan Wright</t>
  </si>
  <si>
    <t xml:space="preserve">CAND-0016</t>
  </si>
  <si>
    <t xml:space="preserve">Riley Jackson</t>
  </si>
  <si>
    <t xml:space="preserve">CAND-0017</t>
  </si>
  <si>
    <t xml:space="preserve">Reese Johnson</t>
  </si>
  <si>
    <t xml:space="preserve">Screening</t>
  </si>
  <si>
    <t xml:space="preserve">Compensation mismatch</t>
  </si>
  <si>
    <t xml:space="preserve">CAND-0018</t>
  </si>
  <si>
    <t xml:space="preserve">Wren Perez</t>
  </si>
  <si>
    <t xml:space="preserve">CAND-0019</t>
  </si>
  <si>
    <t xml:space="preserve">Adrian Young</t>
  </si>
  <si>
    <t xml:space="preserve">CAND-0020</t>
  </si>
  <si>
    <t xml:space="preserve">Sam Kim</t>
  </si>
  <si>
    <t xml:space="preserve">CAND-0021</t>
  </si>
  <si>
    <t xml:space="preserve">Elliot Clark</t>
  </si>
  <si>
    <t xml:space="preserve">JO-03</t>
  </si>
  <si>
    <t xml:space="preserve">Poor culture fit signal</t>
  </si>
  <si>
    <t xml:space="preserve">CAND-0022</t>
  </si>
  <si>
    <t xml:space="preserve">Dakota Brown</t>
  </si>
  <si>
    <t xml:space="preserve">CAND-0023</t>
  </si>
  <si>
    <t xml:space="preserve">Cameron Harris</t>
  </si>
  <si>
    <t xml:space="preserve">Accepted competing offer</t>
  </si>
  <si>
    <t xml:space="preserve">CAND-0024</t>
  </si>
  <si>
    <t xml:space="preserve">Emerson Anderson</t>
  </si>
  <si>
    <t xml:space="preserve">CAND-0025</t>
  </si>
  <si>
    <t xml:space="preserve">Cameron Roberts</t>
  </si>
  <si>
    <t xml:space="preserve">CAND-0026</t>
  </si>
  <si>
    <t xml:space="preserve">Rowan Anderson</t>
  </si>
  <si>
    <t xml:space="preserve">CAND-0027</t>
  </si>
  <si>
    <t xml:space="preserve">Sydney Scott</t>
  </si>
  <si>
    <t xml:space="preserve">CAND-0028</t>
  </si>
  <si>
    <t xml:space="preserve">Harper Walker</t>
  </si>
  <si>
    <t xml:space="preserve">Background Check</t>
  </si>
  <si>
    <t xml:space="preserve">Failed background check</t>
  </si>
  <si>
    <t xml:space="preserve">CAND-0029</t>
  </si>
  <si>
    <t xml:space="preserve">Logan Hall</t>
  </si>
  <si>
    <t xml:space="preserve">CAND-0030</t>
  </si>
  <si>
    <t xml:space="preserve">Taylor Green</t>
  </si>
  <si>
    <t xml:space="preserve">JO-04</t>
  </si>
  <si>
    <t xml:space="preserve">CAND-0031</t>
  </si>
  <si>
    <t xml:space="preserve">Drew Taylor</t>
  </si>
  <si>
    <t xml:space="preserve">CAND-0032</t>
  </si>
  <si>
    <t xml:space="preserve">Avery Patel</t>
  </si>
  <si>
    <t xml:space="preserve">CAND-0033</t>
  </si>
  <si>
    <t xml:space="preserve">Casey Adams</t>
  </si>
  <si>
    <t xml:space="preserve">CAND-0034</t>
  </si>
  <si>
    <t xml:space="preserve">Adrian Adams</t>
  </si>
  <si>
    <t xml:space="preserve">CAND-0035</t>
  </si>
  <si>
    <t xml:space="preserve">Micah White</t>
  </si>
  <si>
    <t xml:space="preserve">CAND-0036</t>
  </si>
  <si>
    <t xml:space="preserve">Finley Wilson</t>
  </si>
  <si>
    <t xml:space="preserve">CAND-0037</t>
  </si>
  <si>
    <t xml:space="preserve">Kendall Roberts</t>
  </si>
  <si>
    <t xml:space="preserve">CAND-0038</t>
  </si>
  <si>
    <t xml:space="preserve">Harper Garcia</t>
  </si>
  <si>
    <t xml:space="preserve">CAND-0039</t>
  </si>
  <si>
    <t xml:space="preserve">CAND-0040</t>
  </si>
  <si>
    <t xml:space="preserve">Rowan Taylor</t>
  </si>
  <si>
    <t xml:space="preserve">JO-05</t>
  </si>
  <si>
    <t xml:space="preserve">CAND-0041</t>
  </si>
  <si>
    <t xml:space="preserve">Jamie Thomas</t>
  </si>
  <si>
    <t xml:space="preserve">CAND-0042</t>
  </si>
  <si>
    <t xml:space="preserve">Sam Lewis</t>
  </si>
  <si>
    <t xml:space="preserve">CAND-0043</t>
  </si>
  <si>
    <t xml:space="preserve">Cameron Green</t>
  </si>
  <si>
    <t xml:space="preserve">CAND-0044</t>
  </si>
  <si>
    <t xml:space="preserve">Sydney Garcia</t>
  </si>
  <si>
    <t xml:space="preserve">CAND-0045</t>
  </si>
  <si>
    <t xml:space="preserve">CAND-0046</t>
  </si>
  <si>
    <t xml:space="preserve">Elliot Nelson</t>
  </si>
  <si>
    <t xml:space="preserve">JO-06</t>
  </si>
  <si>
    <t xml:space="preserve">CAND-0047</t>
  </si>
  <si>
    <t xml:space="preserve">Quinn Young</t>
  </si>
  <si>
    <t xml:space="preserve">CAND-0048</t>
  </si>
  <si>
    <t xml:space="preserve">Peyton Lewis</t>
  </si>
  <si>
    <t xml:space="preserve">CAND-0049</t>
  </si>
  <si>
    <t xml:space="preserve">Emerson Nelson</t>
  </si>
  <si>
    <t xml:space="preserve">CAND-0050</t>
  </si>
  <si>
    <t xml:space="preserve">Micah Baker</t>
  </si>
  <si>
    <t xml:space="preserve">CAND-0051</t>
  </si>
  <si>
    <t xml:space="preserve">Sam Thomas</t>
  </si>
  <si>
    <t xml:space="preserve">CAND-0052</t>
  </si>
  <si>
    <t xml:space="preserve">Casey Moore</t>
  </si>
  <si>
    <t xml:space="preserve">CAND-0053</t>
  </si>
  <si>
    <t xml:space="preserve">Parker Baker</t>
  </si>
  <si>
    <t xml:space="preserve">CAND-0054</t>
  </si>
  <si>
    <t xml:space="preserve">Jordan Harris</t>
  </si>
  <si>
    <t xml:space="preserve">CAND-0055</t>
  </si>
  <si>
    <t xml:space="preserve">Avery Walker</t>
  </si>
  <si>
    <t xml:space="preserve">CAND-0056</t>
  </si>
  <si>
    <t xml:space="preserve">Alex Roberts</t>
  </si>
  <si>
    <t xml:space="preserve">JO-07</t>
  </si>
  <si>
    <t xml:space="preserve">R. Thompson</t>
  </si>
  <si>
    <t xml:space="preserve">CAND-0057</t>
  </si>
  <si>
    <t xml:space="preserve">Avery Lewis</t>
  </si>
  <si>
    <t xml:space="preserve">CAND-0058</t>
  </si>
  <si>
    <t xml:space="preserve">Reagan Davis</t>
  </si>
  <si>
    <t xml:space="preserve">CAND-0059</t>
  </si>
  <si>
    <t xml:space="preserve">Kendall Walker</t>
  </si>
  <si>
    <t xml:space="preserve">CAND-0060</t>
  </si>
  <si>
    <t xml:space="preserve">Quinn Jackson</t>
  </si>
  <si>
    <t xml:space="preserve">CAND-0061</t>
  </si>
  <si>
    <t xml:space="preserve">Sawyer King</t>
  </si>
  <si>
    <t xml:space="preserve">CAND-0062</t>
  </si>
  <si>
    <t xml:space="preserve">Casey Nelson</t>
  </si>
  <si>
    <t xml:space="preserve">CAND-0063</t>
  </si>
  <si>
    <t xml:space="preserve">Rowan Clark</t>
  </si>
  <si>
    <t xml:space="preserve">CAND-0064</t>
  </si>
  <si>
    <t xml:space="preserve">Peyton Anderson</t>
  </si>
  <si>
    <t xml:space="preserve">CAND-0065</t>
  </si>
  <si>
    <t xml:space="preserve">Reagan Clark</t>
  </si>
  <si>
    <t xml:space="preserve">CAND-0066</t>
  </si>
  <si>
    <t xml:space="preserve">Parker Clark</t>
  </si>
  <si>
    <t xml:space="preserve">CAND-0067</t>
  </si>
  <si>
    <t xml:space="preserve">Morgan Carter</t>
  </si>
  <si>
    <t xml:space="preserve">CAND-0068</t>
  </si>
  <si>
    <t xml:space="preserve">Taylor Lewis</t>
  </si>
  <si>
    <t xml:space="preserve">CAND-0069</t>
  </si>
  <si>
    <t xml:space="preserve">Blake Scott</t>
  </si>
  <si>
    <t xml:space="preserve">CAND-0070</t>
  </si>
  <si>
    <t xml:space="preserve">Elliot Patel</t>
  </si>
  <si>
    <t xml:space="preserve">JO-08</t>
  </si>
  <si>
    <t xml:space="preserve">CAND-0071</t>
  </si>
  <si>
    <t xml:space="preserve">CAND-0072</t>
  </si>
  <si>
    <t xml:space="preserve">CAND-0073</t>
  </si>
  <si>
    <t xml:space="preserve">Taylor Allen</t>
  </si>
  <si>
    <t xml:space="preserve">CAND-0074</t>
  </si>
  <si>
    <t xml:space="preserve">Reagan Patel</t>
  </si>
  <si>
    <t xml:space="preserve">CAND-0075</t>
  </si>
  <si>
    <t xml:space="preserve">Skyler Walker</t>
  </si>
  <si>
    <t xml:space="preserve">CAND-0076</t>
  </si>
  <si>
    <t xml:space="preserve">Peyton White</t>
  </si>
  <si>
    <t xml:space="preserve">CAND-0077</t>
  </si>
  <si>
    <t xml:space="preserve">Sawyer Baker</t>
  </si>
  <si>
    <t xml:space="preserve">CAND-0078</t>
  </si>
  <si>
    <t xml:space="preserve">Skyler Smith</t>
  </si>
  <si>
    <t xml:space="preserve">CAND-0079</t>
  </si>
  <si>
    <t xml:space="preserve">Harper Green</t>
  </si>
  <si>
    <t xml:space="preserve">CAND-0080</t>
  </si>
  <si>
    <t xml:space="preserve">Blake Wilson</t>
  </si>
  <si>
    <t xml:space="preserve">CAND-0081</t>
  </si>
  <si>
    <t xml:space="preserve">Logan Baker</t>
  </si>
  <si>
    <t xml:space="preserve">CAND-0082</t>
  </si>
  <si>
    <t xml:space="preserve">JO-09</t>
  </si>
  <si>
    <t xml:space="preserve">CAND-0083</t>
  </si>
  <si>
    <t xml:space="preserve">Sydney Davis</t>
  </si>
  <si>
    <t xml:space="preserve">CAND-0084</t>
  </si>
  <si>
    <t xml:space="preserve">Skyler Green</t>
  </si>
  <si>
    <t xml:space="preserve">CAND-0085</t>
  </si>
  <si>
    <t xml:space="preserve">Dakota Walker</t>
  </si>
  <si>
    <t xml:space="preserve">CAND-0086</t>
  </si>
  <si>
    <t xml:space="preserve">Jordan Patel</t>
  </si>
  <si>
    <t xml:space="preserve">CAND-0087</t>
  </si>
  <si>
    <t xml:space="preserve">Morgan Patel</t>
  </si>
  <si>
    <t xml:space="preserve">CAND-0088</t>
  </si>
  <si>
    <t xml:space="preserve">Tatum Perez</t>
  </si>
  <si>
    <t xml:space="preserve">Skills gap</t>
  </si>
  <si>
    <t xml:space="preserve">CAND-0089</t>
  </si>
  <si>
    <t xml:space="preserve">Drew White</t>
  </si>
  <si>
    <t xml:space="preserve">JO-10</t>
  </si>
  <si>
    <t xml:space="preserve">S. Patel</t>
  </si>
  <si>
    <t xml:space="preserve">CAND-0090</t>
  </si>
  <si>
    <t xml:space="preserve">Logan Wright</t>
  </si>
  <si>
    <t xml:space="preserve">CAND-0091</t>
  </si>
  <si>
    <t xml:space="preserve">Blake Anderson</t>
  </si>
  <si>
    <t xml:space="preserve">CAND-0092</t>
  </si>
  <si>
    <t xml:space="preserve">Rowan Green</t>
  </si>
  <si>
    <t xml:space="preserve">CAND-0093</t>
  </si>
  <si>
    <t xml:space="preserve">Rowan Brown</t>
  </si>
  <si>
    <t xml:space="preserve">CAND-0094</t>
  </si>
  <si>
    <t xml:space="preserve">CAND-0095</t>
  </si>
  <si>
    <t xml:space="preserve">Casey Lewis</t>
  </si>
  <si>
    <t xml:space="preserve">CAND-0096</t>
  </si>
  <si>
    <t xml:space="preserve">Wren King</t>
  </si>
  <si>
    <t xml:space="preserve">CAND-0097</t>
  </si>
  <si>
    <t xml:space="preserve">Title</t>
  </si>
  <si>
    <t xml:space="preserve">Department</t>
  </si>
  <si>
    <t xml:space="preserve">Applicants</t>
  </si>
  <si>
    <t xml:space="preserve">Status</t>
  </si>
  <si>
    <t xml:space="preserve">Process Engineer II</t>
  </si>
  <si>
    <t xml:space="preserve">Manufacturing</t>
  </si>
  <si>
    <t xml:space="preserve">Open</t>
  </si>
  <si>
    <t xml:space="preserve">Yield Engineer</t>
  </si>
  <si>
    <t xml:space="preserve">Test Engineer</t>
  </si>
  <si>
    <t xml:space="preserve">Quality</t>
  </si>
  <si>
    <t xml:space="preserve">Equipment Engineer</t>
  </si>
  <si>
    <t xml:space="preserve">DFT Engineer</t>
  </si>
  <si>
    <t xml:space="preserve">Design</t>
  </si>
  <si>
    <t xml:space="preserve">Quality Engineer</t>
  </si>
  <si>
    <t xml:space="preserve">Supply Chain Analyst</t>
  </si>
  <si>
    <t xml:space="preserve">Operations</t>
  </si>
  <si>
    <t xml:space="preserve">Software Engineer, Tools</t>
  </si>
  <si>
    <t xml:space="preserve">Engineering</t>
  </si>
  <si>
    <t xml:space="preserve">Data Analyst, Ops</t>
  </si>
  <si>
    <t xml:space="preserve">Manufacturing Technician</t>
  </si>
  <si>
    <t xml:space="preserve">Recruiting Funnel — KPI Dashboard</t>
  </si>
  <si>
    <t xml:space="preserve">All figures calculated live from the Candidates sheet via formula</t>
  </si>
  <si>
    <t xml:space="preserve">1. Time-to-Hire (avg calendar days, Application -&gt; Hire, Hired candidates only)</t>
  </si>
  <si>
    <t xml:space="preserve">Average Time-to-Hire (days)</t>
  </si>
  <si>
    <t xml:space="preserve">2. Applicants per Opening</t>
  </si>
  <si>
    <t xml:space="preserve">Average applicants per opening</t>
  </si>
  <si>
    <t xml:space="preserve">See Job Openings sheet, column E, for the per-opening breakdown</t>
  </si>
  <si>
    <t xml:space="preserve">3. Interview-to-Offer Ratio</t>
  </si>
  <si>
    <t xml:space="preserve">Reached Interview (count)</t>
  </si>
  <si>
    <t xml:space="preserve">Received Offer (count)</t>
  </si>
  <si>
    <t xml:space="preserve">Interview-to-Offer Ratio</t>
  </si>
  <si>
    <t xml:space="preserve">Share of interviewed candidates who got an offer</t>
  </si>
  <si>
    <t xml:space="preserve">4. Offer Acceptance Rate</t>
  </si>
  <si>
    <t xml:space="preserve">Offers Extended (count)</t>
  </si>
  <si>
    <t xml:space="preserve">Offers Accepted (count)</t>
  </si>
  <si>
    <t xml:space="preserve">Offer Acceptance Rate</t>
  </si>
  <si>
    <t xml:space="preserve">5. Hiring-Source Effectiveness (Hired / Applied, by source)</t>
  </si>
  <si>
    <t xml:space="preserve">Applied</t>
  </si>
  <si>
    <t xml:space="preserve">Effectiveness</t>
  </si>
  <si>
    <t xml:space="preserve">6. Recruiter Workload (active candidates currently owned)</t>
  </si>
  <si>
    <t xml:space="preserve">Active Candidates</t>
  </si>
  <si>
    <t xml:space="preserve">Total Ever Assigned</t>
  </si>
  <si>
    <t xml:space="preserve">K. Osei</t>
  </si>
  <si>
    <t xml:space="preserve">7. Candidate Drop-off Stage (where rejected candidates exit)</t>
  </si>
  <si>
    <t xml:space="preserve">Stage</t>
  </si>
  <si>
    <t xml:space="preserve">Rejections</t>
  </si>
  <si>
    <t xml:space="preserve">% of All Rejections</t>
  </si>
  <si>
    <t xml:space="preserve">Total Rejected</t>
  </si>
  <si>
    <t xml:space="preserve">Stage Duration Analysis — Where Time Is Lost</t>
  </si>
  <si>
    <t xml:space="preserve">Average calendar days spent in each transition, all candidates who reached that stage</t>
  </si>
  <si>
    <t xml:space="preserve">Transition</t>
  </si>
  <si>
    <t xml:space="preserve">Avg Days</t>
  </si>
  <si>
    <t xml:space="preserve">Max Days</t>
  </si>
  <si>
    <t xml:space="preserve">Candidates ≥10 days</t>
  </si>
  <si>
    <t xml:space="preserve">% Delayed (≥10 days)</t>
  </si>
  <si>
    <t xml:space="preserve">Application -&gt; Recruiter Review</t>
  </si>
  <si>
    <t xml:space="preserve">Recruiter Review -&gt; Screening</t>
  </si>
  <si>
    <t xml:space="preserve">Screening -&gt; Interview Scheduled</t>
  </si>
  <si>
    <t xml:space="preserve">Interview Scheduled -&gt; Completed</t>
  </si>
  <si>
    <t xml:space="preserve">Interview Completed -&gt; Offer</t>
  </si>
  <si>
    <t xml:space="preserve">Offer Extended -&gt; Response</t>
  </si>
  <si>
    <t xml:space="preserve">Offer Accepted -&gt; Background Check</t>
  </si>
  <si>
    <t xml:space="preserve">Background Check -&gt; Hire</t>
  </si>
  <si>
    <t xml:space="preserve">Insight:</t>
  </si>
  <si>
    <t xml:space="preserve">The 'Screening -&gt; Interview Scheduled' row shows the highest % Delayed. That gap is hiring-manager calendar backlog, not recruiter or candidate delay — it's the highest-leverage fix for reducing overall time-to-hire.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</si>
</sst>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0.0"/>
    <numFmt numFmtId="167" formatCode="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5" min="3" style="0" width="13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10" min="9" style="0" width="19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26"/>
    <col collapsed="false" customWidth="true" hidden="false" outlineLevel="0" max="28" min="21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customFormat="false" ht="15" hidden="false" customHeight="false" outlineLevel="0" collapsed="false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3" t="n">
        <v>46080</v>
      </c>
      <c r="G2" s="3" t="n">
        <v>46085</v>
      </c>
      <c r="H2" s="2"/>
      <c r="I2" s="2"/>
      <c r="J2" s="2"/>
      <c r="K2" s="2"/>
      <c r="L2" s="2"/>
      <c r="M2" s="2"/>
      <c r="N2" s="2"/>
      <c r="O2" s="2"/>
      <c r="P2" s="2" t="s">
        <v>32</v>
      </c>
      <c r="Q2" s="2" t="s">
        <v>32</v>
      </c>
      <c r="R2" s="2" t="s">
        <v>33</v>
      </c>
      <c r="S2" s="2" t="s">
        <v>34</v>
      </c>
      <c r="U2" s="2" t="n">
        <f aca="false">IF(AND(F2&lt;&gt;"",G2&lt;&gt;""),G2-F2,"")</f>
        <v>5</v>
      </c>
      <c r="V2" s="2" t="str">
        <f aca="false">IF(AND(G2&lt;&gt;"",H2&lt;&gt;""),H2-G2,"")</f>
        <v/>
      </c>
      <c r="W2" s="2" t="str">
        <f aca="false">IF(AND(H2&lt;&gt;"",I2&lt;&gt;""),I2-H2,"")</f>
        <v/>
      </c>
      <c r="X2" s="2" t="str">
        <f aca="false">IF(AND(I2&lt;&gt;"",J2&lt;&gt;""),J2-I2,"")</f>
        <v/>
      </c>
      <c r="Y2" s="2" t="str">
        <f aca="false">IF(AND(J2&lt;&gt;"",K2&lt;&gt;""),K2-J2,"")</f>
        <v/>
      </c>
      <c r="Z2" s="2" t="str">
        <f aca="false">IF(AND(K2&lt;&gt;"",M2&lt;&gt;""),M2-K2,"")</f>
        <v/>
      </c>
      <c r="AA2" s="2" t="str">
        <f aca="false">IF(AND(M2&lt;&gt;"",N2&lt;&gt;""),N2-M2,"")</f>
        <v/>
      </c>
      <c r="AB2" s="2" t="str">
        <f aca="false">IF(AND(N2&lt;&gt;"",O2&lt;&gt;""),O2-N2,"")</f>
        <v/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29</v>
      </c>
      <c r="D3" s="2" t="s">
        <v>30</v>
      </c>
      <c r="E3" s="2" t="s">
        <v>31</v>
      </c>
      <c r="F3" s="3" t="n">
        <v>46113</v>
      </c>
      <c r="G3" s="3" t="n">
        <v>46118</v>
      </c>
      <c r="H3" s="3" t="n">
        <v>46124</v>
      </c>
      <c r="I3" s="3" t="n">
        <v>46129</v>
      </c>
      <c r="J3" s="3" t="n">
        <v>46133</v>
      </c>
      <c r="K3" s="3" t="n">
        <v>46136</v>
      </c>
      <c r="L3" s="2" t="s">
        <v>37</v>
      </c>
      <c r="M3" s="3" t="n">
        <v>46140</v>
      </c>
      <c r="N3" s="3" t="n">
        <v>46148</v>
      </c>
      <c r="O3" s="3" t="n">
        <v>46151</v>
      </c>
      <c r="P3" s="2" t="s">
        <v>38</v>
      </c>
      <c r="Q3" s="2" t="s">
        <v>38</v>
      </c>
      <c r="R3" s="2"/>
      <c r="S3" s="2"/>
      <c r="U3" s="2" t="n">
        <f aca="false">IF(AND(F3&lt;&gt;"",G3&lt;&gt;""),G3-F3,"")</f>
        <v>5</v>
      </c>
      <c r="V3" s="2" t="n">
        <f aca="false">IF(AND(G3&lt;&gt;"",H3&lt;&gt;""),H3-G3,"")</f>
        <v>6</v>
      </c>
      <c r="W3" s="2" t="n">
        <f aca="false">IF(AND(H3&lt;&gt;"",I3&lt;&gt;""),I3-H3,"")</f>
        <v>5</v>
      </c>
      <c r="X3" s="2" t="n">
        <f aca="false">IF(AND(I3&lt;&gt;"",J3&lt;&gt;""),J3-I3,"")</f>
        <v>4</v>
      </c>
      <c r="Y3" s="2" t="n">
        <f aca="false">IF(AND(J3&lt;&gt;"",K3&lt;&gt;""),K3-J3,"")</f>
        <v>3</v>
      </c>
      <c r="Z3" s="2" t="n">
        <f aca="false">IF(AND(K3&lt;&gt;"",M3&lt;&gt;""),M3-K3,"")</f>
        <v>4</v>
      </c>
      <c r="AA3" s="2" t="n">
        <f aca="false">IF(AND(M3&lt;&gt;"",N3&lt;&gt;""),N3-M3,"")</f>
        <v>8</v>
      </c>
      <c r="AB3" s="2" t="n">
        <f aca="false">IF(AND(N3&lt;&gt;"",O3&lt;&gt;""),O3-N3,"")</f>
        <v>3</v>
      </c>
    </row>
    <row r="4" customFormat="false" ht="15" hidden="false" customHeight="false" outlineLevel="0" collapsed="false">
      <c r="A4" s="2" t="s">
        <v>39</v>
      </c>
      <c r="B4" s="2" t="s">
        <v>40</v>
      </c>
      <c r="C4" s="2" t="s">
        <v>29</v>
      </c>
      <c r="D4" s="2" t="s">
        <v>30</v>
      </c>
      <c r="E4" s="2" t="s">
        <v>31</v>
      </c>
      <c r="F4" s="3" t="n">
        <v>46078</v>
      </c>
      <c r="G4" s="3" t="n">
        <v>46081</v>
      </c>
      <c r="H4" s="3" t="n">
        <v>46087</v>
      </c>
      <c r="I4" s="3" t="n">
        <v>46104</v>
      </c>
      <c r="J4" s="3" t="n">
        <v>46108</v>
      </c>
      <c r="K4" s="2"/>
      <c r="L4" s="2"/>
      <c r="M4" s="2"/>
      <c r="N4" s="2"/>
      <c r="O4" s="2"/>
      <c r="P4" s="2" t="s">
        <v>32</v>
      </c>
      <c r="Q4" s="2" t="s">
        <v>32</v>
      </c>
      <c r="R4" s="2" t="s">
        <v>41</v>
      </c>
      <c r="S4" s="2" t="s">
        <v>42</v>
      </c>
      <c r="U4" s="2" t="n">
        <f aca="false">IF(AND(F4&lt;&gt;"",G4&lt;&gt;""),G4-F4,"")</f>
        <v>3</v>
      </c>
      <c r="V4" s="2" t="n">
        <f aca="false">IF(AND(G4&lt;&gt;"",H4&lt;&gt;""),H4-G4,"")</f>
        <v>6</v>
      </c>
      <c r="W4" s="2" t="n">
        <f aca="false">IF(AND(H4&lt;&gt;"",I4&lt;&gt;""),I4-H4,"")</f>
        <v>17</v>
      </c>
      <c r="X4" s="2" t="n">
        <f aca="false">IF(AND(I4&lt;&gt;"",J4&lt;&gt;""),J4-I4,"")</f>
        <v>4</v>
      </c>
      <c r="Y4" s="2" t="str">
        <f aca="false">IF(AND(J4&lt;&gt;"",K4&lt;&gt;""),K4-J4,"")</f>
        <v/>
      </c>
      <c r="Z4" s="2" t="str">
        <f aca="false">IF(AND(K4&lt;&gt;"",M4&lt;&gt;""),M4-K4,"")</f>
        <v/>
      </c>
      <c r="AA4" s="2" t="str">
        <f aca="false">IF(AND(M4&lt;&gt;"",N4&lt;&gt;""),N4-M4,"")</f>
        <v/>
      </c>
      <c r="AB4" s="2" t="str">
        <f aca="false">IF(AND(N4&lt;&gt;"",O4&lt;&gt;""),O4-N4,"")</f>
        <v/>
      </c>
    </row>
    <row r="5" customFormat="false" ht="15" hidden="false" customHeight="false" outlineLevel="0" collapsed="false">
      <c r="A5" s="2" t="s">
        <v>43</v>
      </c>
      <c r="B5" s="2" t="s">
        <v>44</v>
      </c>
      <c r="C5" s="2" t="s">
        <v>29</v>
      </c>
      <c r="D5" s="2" t="s">
        <v>45</v>
      </c>
      <c r="E5" s="2" t="s">
        <v>31</v>
      </c>
      <c r="F5" s="3" t="n">
        <v>46065</v>
      </c>
      <c r="G5" s="3" t="n">
        <v>46067</v>
      </c>
      <c r="H5" s="3" t="n">
        <v>46069</v>
      </c>
      <c r="I5" s="3" t="n">
        <v>46074</v>
      </c>
      <c r="J5" s="3" t="n">
        <v>46078</v>
      </c>
      <c r="K5" s="3" t="n">
        <v>46083</v>
      </c>
      <c r="L5" s="2" t="s">
        <v>37</v>
      </c>
      <c r="M5" s="3" t="n">
        <v>46087</v>
      </c>
      <c r="N5" s="3" t="n">
        <v>46093</v>
      </c>
      <c r="O5" s="3" t="n">
        <v>46095</v>
      </c>
      <c r="P5" s="2" t="s">
        <v>38</v>
      </c>
      <c r="Q5" s="2" t="s">
        <v>38</v>
      </c>
      <c r="R5" s="2"/>
      <c r="S5" s="2"/>
      <c r="U5" s="2" t="n">
        <f aca="false">IF(AND(F5&lt;&gt;"",G5&lt;&gt;""),G5-F5,"")</f>
        <v>2</v>
      </c>
      <c r="V5" s="2" t="n">
        <f aca="false">IF(AND(G5&lt;&gt;"",H5&lt;&gt;""),H5-G5,"")</f>
        <v>2</v>
      </c>
      <c r="W5" s="2" t="n">
        <f aca="false">IF(AND(H5&lt;&gt;"",I5&lt;&gt;""),I5-H5,"")</f>
        <v>5</v>
      </c>
      <c r="X5" s="2" t="n">
        <f aca="false">IF(AND(I5&lt;&gt;"",J5&lt;&gt;""),J5-I5,"")</f>
        <v>4</v>
      </c>
      <c r="Y5" s="2" t="n">
        <f aca="false">IF(AND(J5&lt;&gt;"",K5&lt;&gt;""),K5-J5,"")</f>
        <v>5</v>
      </c>
      <c r="Z5" s="2" t="n">
        <f aca="false">IF(AND(K5&lt;&gt;"",M5&lt;&gt;""),M5-K5,"")</f>
        <v>4</v>
      </c>
      <c r="AA5" s="2" t="n">
        <f aca="false">IF(AND(M5&lt;&gt;"",N5&lt;&gt;""),N5-M5,"")</f>
        <v>6</v>
      </c>
      <c r="AB5" s="2" t="n">
        <f aca="false">IF(AND(N5&lt;&gt;"",O5&lt;&gt;""),O5-N5,"")</f>
        <v>2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s">
        <v>29</v>
      </c>
      <c r="D6" s="2" t="s">
        <v>45</v>
      </c>
      <c r="E6" s="2" t="s">
        <v>31</v>
      </c>
      <c r="F6" s="3" t="n">
        <v>46095</v>
      </c>
      <c r="G6" s="3" t="n">
        <v>46099</v>
      </c>
      <c r="H6" s="3" t="n">
        <v>46105</v>
      </c>
      <c r="I6" s="3" t="n">
        <v>46115</v>
      </c>
      <c r="J6" s="3" t="n">
        <v>46116</v>
      </c>
      <c r="K6" s="3" t="n">
        <v>46122</v>
      </c>
      <c r="L6" s="2" t="s">
        <v>48</v>
      </c>
      <c r="M6" s="3" t="n">
        <v>46128</v>
      </c>
      <c r="N6" s="2"/>
      <c r="O6" s="2"/>
      <c r="P6" s="2" t="s">
        <v>32</v>
      </c>
      <c r="Q6" s="2" t="s">
        <v>32</v>
      </c>
      <c r="R6" s="2" t="s">
        <v>49</v>
      </c>
      <c r="S6" s="2" t="s">
        <v>50</v>
      </c>
      <c r="U6" s="2" t="n">
        <f aca="false">IF(AND(F6&lt;&gt;"",G6&lt;&gt;""),G6-F6,"")</f>
        <v>4</v>
      </c>
      <c r="V6" s="2" t="n">
        <f aca="false">IF(AND(G6&lt;&gt;"",H6&lt;&gt;""),H6-G6,"")</f>
        <v>6</v>
      </c>
      <c r="W6" s="2" t="n">
        <f aca="false">IF(AND(H6&lt;&gt;"",I6&lt;&gt;""),I6-H6,"")</f>
        <v>10</v>
      </c>
      <c r="X6" s="2" t="n">
        <f aca="false">IF(AND(I6&lt;&gt;"",J6&lt;&gt;""),J6-I6,"")</f>
        <v>1</v>
      </c>
      <c r="Y6" s="2" t="n">
        <f aca="false">IF(AND(J6&lt;&gt;"",K6&lt;&gt;""),K6-J6,"")</f>
        <v>6</v>
      </c>
      <c r="Z6" s="2" t="n">
        <f aca="false">IF(AND(K6&lt;&gt;"",M6&lt;&gt;""),M6-K6,"")</f>
        <v>6</v>
      </c>
      <c r="AA6" s="2" t="str">
        <f aca="false">IF(AND(M6&lt;&gt;"",N6&lt;&gt;""),N6-M6,"")</f>
        <v/>
      </c>
      <c r="AB6" s="2" t="str">
        <f aca="false">IF(AND(N6&lt;&gt;"",O6&lt;&gt;""),O6-N6,"")</f>
        <v/>
      </c>
    </row>
    <row r="7" customFormat="false" ht="15" hidden="false" customHeight="false" outlineLevel="0" collapsed="false">
      <c r="A7" s="2" t="s">
        <v>51</v>
      </c>
      <c r="B7" s="2" t="s">
        <v>52</v>
      </c>
      <c r="C7" s="2" t="s">
        <v>29</v>
      </c>
      <c r="D7" s="2" t="s">
        <v>45</v>
      </c>
      <c r="E7" s="2" t="s">
        <v>31</v>
      </c>
      <c r="F7" s="3" t="n">
        <v>46155</v>
      </c>
      <c r="G7" s="3" t="n">
        <v>46159</v>
      </c>
      <c r="H7" s="2"/>
      <c r="I7" s="2"/>
      <c r="J7" s="2"/>
      <c r="K7" s="2"/>
      <c r="L7" s="2"/>
      <c r="M7" s="2"/>
      <c r="N7" s="2"/>
      <c r="O7" s="2"/>
      <c r="P7" s="2" t="s">
        <v>32</v>
      </c>
      <c r="Q7" s="2" t="s">
        <v>32</v>
      </c>
      <c r="R7" s="2" t="s">
        <v>33</v>
      </c>
      <c r="S7" s="2" t="s">
        <v>53</v>
      </c>
      <c r="U7" s="2" t="n">
        <f aca="false">IF(AND(F7&lt;&gt;"",G7&lt;&gt;""),G7-F7,"")</f>
        <v>4</v>
      </c>
      <c r="V7" s="2" t="str">
        <f aca="false">IF(AND(G7&lt;&gt;"",H7&lt;&gt;""),H7-G7,"")</f>
        <v/>
      </c>
      <c r="W7" s="2" t="str">
        <f aca="false">IF(AND(H7&lt;&gt;"",I7&lt;&gt;""),I7-H7,"")</f>
        <v/>
      </c>
      <c r="X7" s="2" t="str">
        <f aca="false">IF(AND(I7&lt;&gt;"",J7&lt;&gt;""),J7-I7,"")</f>
        <v/>
      </c>
      <c r="Y7" s="2" t="str">
        <f aca="false">IF(AND(J7&lt;&gt;"",K7&lt;&gt;""),K7-J7,"")</f>
        <v/>
      </c>
      <c r="Z7" s="2" t="str">
        <f aca="false">IF(AND(K7&lt;&gt;"",M7&lt;&gt;""),M7-K7,"")</f>
        <v/>
      </c>
      <c r="AA7" s="2" t="str">
        <f aca="false">IF(AND(M7&lt;&gt;"",N7&lt;&gt;""),N7-M7,"")</f>
        <v/>
      </c>
      <c r="AB7" s="2" t="str">
        <f aca="false">IF(AND(N7&lt;&gt;"",O7&lt;&gt;""),O7-N7,"")</f>
        <v/>
      </c>
    </row>
    <row r="8" customFormat="false" ht="15" hidden="false" customHeight="false" outlineLevel="0" collapsed="false">
      <c r="A8" s="2" t="s">
        <v>54</v>
      </c>
      <c r="B8" s="2" t="s">
        <v>55</v>
      </c>
      <c r="C8" s="2" t="s">
        <v>56</v>
      </c>
      <c r="D8" s="2" t="s">
        <v>45</v>
      </c>
      <c r="E8" s="2" t="s">
        <v>57</v>
      </c>
      <c r="F8" s="3" t="n">
        <v>46163</v>
      </c>
      <c r="G8" s="3" t="n">
        <v>46168</v>
      </c>
      <c r="H8" s="3" t="n">
        <v>46171</v>
      </c>
      <c r="I8" s="3" t="n">
        <v>46188</v>
      </c>
      <c r="J8" s="3" t="n">
        <v>46189</v>
      </c>
      <c r="K8" s="3" t="n">
        <v>46193</v>
      </c>
      <c r="L8" s="2" t="s">
        <v>37</v>
      </c>
      <c r="M8" s="3" t="n">
        <v>46197</v>
      </c>
      <c r="N8" s="3" t="n">
        <v>46206</v>
      </c>
      <c r="O8" s="3" t="n">
        <v>46211</v>
      </c>
      <c r="P8" s="2" t="s">
        <v>38</v>
      </c>
      <c r="Q8" s="2" t="s">
        <v>38</v>
      </c>
      <c r="R8" s="2"/>
      <c r="S8" s="2"/>
      <c r="U8" s="2" t="n">
        <f aca="false">IF(AND(F8&lt;&gt;"",G8&lt;&gt;""),G8-F8,"")</f>
        <v>5</v>
      </c>
      <c r="V8" s="2" t="n">
        <f aca="false">IF(AND(G8&lt;&gt;"",H8&lt;&gt;""),H8-G8,"")</f>
        <v>3</v>
      </c>
      <c r="W8" s="2" t="n">
        <f aca="false">IF(AND(H8&lt;&gt;"",I8&lt;&gt;""),I8-H8,"")</f>
        <v>17</v>
      </c>
      <c r="X8" s="2" t="n">
        <f aca="false">IF(AND(I8&lt;&gt;"",J8&lt;&gt;""),J8-I8,"")</f>
        <v>1</v>
      </c>
      <c r="Y8" s="2" t="n">
        <f aca="false">IF(AND(J8&lt;&gt;"",K8&lt;&gt;""),K8-J8,"")</f>
        <v>4</v>
      </c>
      <c r="Z8" s="2" t="n">
        <f aca="false">IF(AND(K8&lt;&gt;"",M8&lt;&gt;""),M8-K8,"")</f>
        <v>4</v>
      </c>
      <c r="AA8" s="2" t="n">
        <f aca="false">IF(AND(M8&lt;&gt;"",N8&lt;&gt;""),N8-M8,"")</f>
        <v>9</v>
      </c>
      <c r="AB8" s="2" t="n">
        <f aca="false">IF(AND(N8&lt;&gt;"",O8&lt;&gt;""),O8-N8,"")</f>
        <v>5</v>
      </c>
    </row>
    <row r="9" customFormat="false" ht="15" hidden="false" customHeight="false" outlineLevel="0" collapsed="false">
      <c r="A9" s="2" t="s">
        <v>58</v>
      </c>
      <c r="B9" s="2" t="s">
        <v>59</v>
      </c>
      <c r="C9" s="2" t="s">
        <v>56</v>
      </c>
      <c r="D9" s="2" t="s">
        <v>60</v>
      </c>
      <c r="E9" s="2" t="s">
        <v>57</v>
      </c>
      <c r="F9" s="3" t="n">
        <v>46195</v>
      </c>
      <c r="G9" s="3" t="n">
        <v>46196</v>
      </c>
      <c r="H9" s="3" t="n">
        <v>46198</v>
      </c>
      <c r="I9" s="3" t="n">
        <v>46202</v>
      </c>
      <c r="J9" s="3" t="n">
        <v>46203</v>
      </c>
      <c r="K9" s="2"/>
      <c r="L9" s="2"/>
      <c r="M9" s="2"/>
      <c r="N9" s="2"/>
      <c r="O9" s="2"/>
      <c r="P9" s="2" t="s">
        <v>32</v>
      </c>
      <c r="Q9" s="2" t="s">
        <v>32</v>
      </c>
      <c r="R9" s="2" t="s">
        <v>41</v>
      </c>
      <c r="S9" s="2" t="s">
        <v>61</v>
      </c>
      <c r="U9" s="2" t="n">
        <f aca="false">IF(AND(F9&lt;&gt;"",G9&lt;&gt;""),G9-F9,"")</f>
        <v>1</v>
      </c>
      <c r="V9" s="2" t="n">
        <f aca="false">IF(AND(G9&lt;&gt;"",H9&lt;&gt;""),H9-G9,"")</f>
        <v>2</v>
      </c>
      <c r="W9" s="2" t="n">
        <f aca="false">IF(AND(H9&lt;&gt;"",I9&lt;&gt;""),I9-H9,"")</f>
        <v>4</v>
      </c>
      <c r="X9" s="2" t="n">
        <f aca="false">IF(AND(I9&lt;&gt;"",J9&lt;&gt;""),J9-I9,"")</f>
        <v>1</v>
      </c>
      <c r="Y9" s="2" t="str">
        <f aca="false">IF(AND(J9&lt;&gt;"",K9&lt;&gt;""),K9-J9,"")</f>
        <v/>
      </c>
      <c r="Z9" s="2" t="str">
        <f aca="false">IF(AND(K9&lt;&gt;"",M9&lt;&gt;""),M9-K9,"")</f>
        <v/>
      </c>
      <c r="AA9" s="2" t="str">
        <f aca="false">IF(AND(M9&lt;&gt;"",N9&lt;&gt;""),N9-M9,"")</f>
        <v/>
      </c>
      <c r="AB9" s="2" t="str">
        <f aca="false">IF(AND(N9&lt;&gt;"",O9&lt;&gt;""),O9-N9,"")</f>
        <v/>
      </c>
    </row>
    <row r="10" customFormat="false" ht="15" hidden="false" customHeight="false" outlineLevel="0" collapsed="false">
      <c r="A10" s="2" t="s">
        <v>62</v>
      </c>
      <c r="B10" s="2" t="s">
        <v>63</v>
      </c>
      <c r="C10" s="2" t="s">
        <v>56</v>
      </c>
      <c r="D10" s="2" t="s">
        <v>64</v>
      </c>
      <c r="E10" s="2" t="s">
        <v>57</v>
      </c>
      <c r="F10" s="3" t="n">
        <v>46121</v>
      </c>
      <c r="G10" s="3" t="n">
        <v>46126</v>
      </c>
      <c r="H10" s="3" t="n">
        <v>46132</v>
      </c>
      <c r="I10" s="3" t="n">
        <v>46136</v>
      </c>
      <c r="J10" s="3" t="n">
        <v>46138</v>
      </c>
      <c r="K10" s="3" t="n">
        <v>46142</v>
      </c>
      <c r="L10" s="2" t="s">
        <v>37</v>
      </c>
      <c r="M10" s="3" t="n">
        <v>46152</v>
      </c>
      <c r="N10" s="3" t="n">
        <v>46155</v>
      </c>
      <c r="O10" s="3" t="n">
        <v>46160</v>
      </c>
      <c r="P10" s="2" t="s">
        <v>38</v>
      </c>
      <c r="Q10" s="2" t="s">
        <v>38</v>
      </c>
      <c r="R10" s="2"/>
      <c r="S10" s="2"/>
      <c r="U10" s="2" t="n">
        <f aca="false">IF(AND(F10&lt;&gt;"",G10&lt;&gt;""),G10-F10,"")</f>
        <v>5</v>
      </c>
      <c r="V10" s="2" t="n">
        <f aca="false">IF(AND(G10&lt;&gt;"",H10&lt;&gt;""),H10-G10,"")</f>
        <v>6</v>
      </c>
      <c r="W10" s="2" t="n">
        <f aca="false">IF(AND(H10&lt;&gt;"",I10&lt;&gt;""),I10-H10,"")</f>
        <v>4</v>
      </c>
      <c r="X10" s="2" t="n">
        <f aca="false">IF(AND(I10&lt;&gt;"",J10&lt;&gt;""),J10-I10,"")</f>
        <v>2</v>
      </c>
      <c r="Y10" s="2" t="n">
        <f aca="false">IF(AND(J10&lt;&gt;"",K10&lt;&gt;""),K10-J10,"")</f>
        <v>4</v>
      </c>
      <c r="Z10" s="2" t="n">
        <f aca="false">IF(AND(K10&lt;&gt;"",M10&lt;&gt;""),M10-K10,"")</f>
        <v>10</v>
      </c>
      <c r="AA10" s="2" t="n">
        <f aca="false">IF(AND(M10&lt;&gt;"",N10&lt;&gt;""),N10-M10,"")</f>
        <v>3</v>
      </c>
      <c r="AB10" s="2" t="n">
        <f aca="false">IF(AND(N10&lt;&gt;"",O10&lt;&gt;""),O10-N10,"")</f>
        <v>5</v>
      </c>
    </row>
    <row r="11" customFormat="false" ht="15" hidden="false" customHeight="false" outlineLevel="0" collapsed="false">
      <c r="A11" s="2" t="s">
        <v>65</v>
      </c>
      <c r="B11" s="2" t="s">
        <v>66</v>
      </c>
      <c r="C11" s="2" t="s">
        <v>56</v>
      </c>
      <c r="D11" s="2" t="s">
        <v>67</v>
      </c>
      <c r="E11" s="2" t="s">
        <v>57</v>
      </c>
      <c r="F11" s="3" t="n">
        <v>46132</v>
      </c>
      <c r="G11" s="3" t="n">
        <v>46134</v>
      </c>
      <c r="H11" s="2"/>
      <c r="I11" s="2"/>
      <c r="J11" s="2"/>
      <c r="K11" s="2"/>
      <c r="L11" s="2"/>
      <c r="M11" s="2"/>
      <c r="N11" s="2"/>
      <c r="O11" s="2"/>
      <c r="P11" s="2" t="s">
        <v>32</v>
      </c>
      <c r="Q11" s="2" t="s">
        <v>32</v>
      </c>
      <c r="R11" s="2" t="s">
        <v>33</v>
      </c>
      <c r="S11" s="2" t="s">
        <v>68</v>
      </c>
      <c r="U11" s="2" t="n">
        <f aca="false">IF(AND(F11&lt;&gt;"",G11&lt;&gt;""),G11-F11,"")</f>
        <v>2</v>
      </c>
      <c r="V11" s="2" t="str">
        <f aca="false">IF(AND(G11&lt;&gt;"",H11&lt;&gt;""),H11-G11,"")</f>
        <v/>
      </c>
      <c r="W11" s="2" t="str">
        <f aca="false">IF(AND(H11&lt;&gt;"",I11&lt;&gt;""),I11-H11,"")</f>
        <v/>
      </c>
      <c r="X11" s="2" t="str">
        <f aca="false">IF(AND(I11&lt;&gt;"",J11&lt;&gt;""),J11-I11,"")</f>
        <v/>
      </c>
      <c r="Y11" s="2" t="str">
        <f aca="false">IF(AND(J11&lt;&gt;"",K11&lt;&gt;""),K11-J11,"")</f>
        <v/>
      </c>
      <c r="Z11" s="2" t="str">
        <f aca="false">IF(AND(K11&lt;&gt;"",M11&lt;&gt;""),M11-K11,"")</f>
        <v/>
      </c>
      <c r="AA11" s="2" t="str">
        <f aca="false">IF(AND(M11&lt;&gt;"",N11&lt;&gt;""),N11-M11,"")</f>
        <v/>
      </c>
      <c r="AB11" s="2" t="str">
        <f aca="false">IF(AND(N11&lt;&gt;"",O11&lt;&gt;""),O11-N11,"")</f>
        <v/>
      </c>
    </row>
    <row r="12" customFormat="false" ht="15" hidden="false" customHeight="false" outlineLevel="0" collapsed="false">
      <c r="A12" s="2" t="s">
        <v>69</v>
      </c>
      <c r="B12" s="2" t="s">
        <v>70</v>
      </c>
      <c r="C12" s="2" t="s">
        <v>56</v>
      </c>
      <c r="D12" s="2" t="s">
        <v>45</v>
      </c>
      <c r="E12" s="2" t="s">
        <v>57</v>
      </c>
      <c r="F12" s="3" t="n">
        <v>46071</v>
      </c>
      <c r="G12" s="3" t="n">
        <v>46076</v>
      </c>
      <c r="H12" s="3" t="n">
        <v>46079</v>
      </c>
      <c r="I12" s="3" t="n">
        <v>46082</v>
      </c>
      <c r="J12" s="3" t="n">
        <v>46087</v>
      </c>
      <c r="K12" s="3" t="n">
        <v>46093</v>
      </c>
      <c r="L12" s="2" t="s">
        <v>37</v>
      </c>
      <c r="M12" s="3" t="n">
        <v>46098</v>
      </c>
      <c r="N12" s="3" t="n">
        <v>46104</v>
      </c>
      <c r="O12" s="3" t="n">
        <v>46109</v>
      </c>
      <c r="P12" s="2" t="s">
        <v>38</v>
      </c>
      <c r="Q12" s="2" t="s">
        <v>38</v>
      </c>
      <c r="R12" s="2"/>
      <c r="S12" s="2"/>
      <c r="U12" s="2" t="n">
        <f aca="false">IF(AND(F12&lt;&gt;"",G12&lt;&gt;""),G12-F12,"")</f>
        <v>5</v>
      </c>
      <c r="V12" s="2" t="n">
        <f aca="false">IF(AND(G12&lt;&gt;"",H12&lt;&gt;""),H12-G12,"")</f>
        <v>3</v>
      </c>
      <c r="W12" s="2" t="n">
        <f aca="false">IF(AND(H12&lt;&gt;"",I12&lt;&gt;""),I12-H12,"")</f>
        <v>3</v>
      </c>
      <c r="X12" s="2" t="n">
        <f aca="false">IF(AND(I12&lt;&gt;"",J12&lt;&gt;""),J12-I12,"")</f>
        <v>5</v>
      </c>
      <c r="Y12" s="2" t="n">
        <f aca="false">IF(AND(J12&lt;&gt;"",K12&lt;&gt;""),K12-J12,"")</f>
        <v>6</v>
      </c>
      <c r="Z12" s="2" t="n">
        <f aca="false">IF(AND(K12&lt;&gt;"",M12&lt;&gt;""),M12-K12,"")</f>
        <v>5</v>
      </c>
      <c r="AA12" s="2" t="n">
        <f aca="false">IF(AND(M12&lt;&gt;"",N12&lt;&gt;""),N12-M12,"")</f>
        <v>6</v>
      </c>
      <c r="AB12" s="2" t="n">
        <f aca="false">IF(AND(N12&lt;&gt;"",O12&lt;&gt;""),O12-N12,"")</f>
        <v>5</v>
      </c>
    </row>
    <row r="13" customFormat="false" ht="15" hidden="false" customHeight="false" outlineLevel="0" collapsed="false">
      <c r="A13" s="2" t="s">
        <v>71</v>
      </c>
      <c r="B13" s="2" t="s">
        <v>72</v>
      </c>
      <c r="C13" s="2" t="s">
        <v>56</v>
      </c>
      <c r="D13" s="2" t="s">
        <v>67</v>
      </c>
      <c r="E13" s="2" t="s">
        <v>57</v>
      </c>
      <c r="F13" s="3" t="n">
        <v>46169</v>
      </c>
      <c r="G13" s="3" t="n">
        <v>46170</v>
      </c>
      <c r="H13" s="3" t="n">
        <v>46172</v>
      </c>
      <c r="I13" s="3" t="n">
        <v>46175</v>
      </c>
      <c r="J13" s="3" t="n">
        <v>46176</v>
      </c>
      <c r="K13" s="2"/>
      <c r="L13" s="2"/>
      <c r="M13" s="2"/>
      <c r="N13" s="2"/>
      <c r="O13" s="2"/>
      <c r="P13" s="2" t="s">
        <v>32</v>
      </c>
      <c r="Q13" s="2" t="s">
        <v>32</v>
      </c>
      <c r="R13" s="2" t="s">
        <v>41</v>
      </c>
      <c r="S13" s="2" t="s">
        <v>73</v>
      </c>
      <c r="U13" s="2" t="n">
        <f aca="false">IF(AND(F13&lt;&gt;"",G13&lt;&gt;""),G13-F13,"")</f>
        <v>1</v>
      </c>
      <c r="V13" s="2" t="n">
        <f aca="false">IF(AND(G13&lt;&gt;"",H13&lt;&gt;""),H13-G13,"")</f>
        <v>2</v>
      </c>
      <c r="W13" s="2" t="n">
        <f aca="false">IF(AND(H13&lt;&gt;"",I13&lt;&gt;""),I13-H13,"")</f>
        <v>3</v>
      </c>
      <c r="X13" s="2" t="n">
        <f aca="false">IF(AND(I13&lt;&gt;"",J13&lt;&gt;""),J13-I13,"")</f>
        <v>1</v>
      </c>
      <c r="Y13" s="2" t="str">
        <f aca="false">IF(AND(J13&lt;&gt;"",K13&lt;&gt;""),K13-J13,"")</f>
        <v/>
      </c>
      <c r="Z13" s="2" t="str">
        <f aca="false">IF(AND(K13&lt;&gt;"",M13&lt;&gt;""),M13-K13,"")</f>
        <v/>
      </c>
      <c r="AA13" s="2" t="str">
        <f aca="false">IF(AND(M13&lt;&gt;"",N13&lt;&gt;""),N13-M13,"")</f>
        <v/>
      </c>
      <c r="AB13" s="2" t="str">
        <f aca="false">IF(AND(N13&lt;&gt;"",O13&lt;&gt;""),O13-N13,"")</f>
        <v/>
      </c>
    </row>
    <row r="14" customFormat="false" ht="15" hidden="false" customHeight="false" outlineLevel="0" collapsed="false">
      <c r="A14" s="2" t="s">
        <v>74</v>
      </c>
      <c r="B14" s="2" t="s">
        <v>75</v>
      </c>
      <c r="C14" s="2" t="s">
        <v>56</v>
      </c>
      <c r="D14" s="2" t="s">
        <v>30</v>
      </c>
      <c r="E14" s="2" t="s">
        <v>57</v>
      </c>
      <c r="F14" s="3" t="n">
        <v>46062</v>
      </c>
      <c r="G14" s="3" t="n">
        <v>46065</v>
      </c>
      <c r="H14" s="2"/>
      <c r="I14" s="2"/>
      <c r="J14" s="2"/>
      <c r="K14" s="2"/>
      <c r="L14" s="2"/>
      <c r="M14" s="2"/>
      <c r="N14" s="2"/>
      <c r="O14" s="2"/>
      <c r="P14" s="2" t="s">
        <v>32</v>
      </c>
      <c r="Q14" s="2" t="s">
        <v>32</v>
      </c>
      <c r="R14" s="2" t="s">
        <v>33</v>
      </c>
      <c r="S14" s="2" t="s">
        <v>53</v>
      </c>
      <c r="U14" s="2" t="n">
        <f aca="false">IF(AND(F14&lt;&gt;"",G14&lt;&gt;""),G14-F14,"")</f>
        <v>3</v>
      </c>
      <c r="V14" s="2" t="str">
        <f aca="false">IF(AND(G14&lt;&gt;"",H14&lt;&gt;""),H14-G14,"")</f>
        <v/>
      </c>
      <c r="W14" s="2" t="str">
        <f aca="false">IF(AND(H14&lt;&gt;"",I14&lt;&gt;""),I14-H14,"")</f>
        <v/>
      </c>
      <c r="X14" s="2" t="str">
        <f aca="false">IF(AND(I14&lt;&gt;"",J14&lt;&gt;""),J14-I14,"")</f>
        <v/>
      </c>
      <c r="Y14" s="2" t="str">
        <f aca="false">IF(AND(J14&lt;&gt;"",K14&lt;&gt;""),K14-J14,"")</f>
        <v/>
      </c>
      <c r="Z14" s="2" t="str">
        <f aca="false">IF(AND(K14&lt;&gt;"",M14&lt;&gt;""),M14-K14,"")</f>
        <v/>
      </c>
      <c r="AA14" s="2" t="str">
        <f aca="false">IF(AND(M14&lt;&gt;"",N14&lt;&gt;""),N14-M14,"")</f>
        <v/>
      </c>
      <c r="AB14" s="2" t="str">
        <f aca="false">IF(AND(N14&lt;&gt;"",O14&lt;&gt;""),O14-N14,"")</f>
        <v/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56</v>
      </c>
      <c r="D15" s="2" t="s">
        <v>30</v>
      </c>
      <c r="E15" s="2" t="s">
        <v>57</v>
      </c>
      <c r="F15" s="3" t="n">
        <v>46087</v>
      </c>
      <c r="G15" s="3" t="n">
        <v>46092</v>
      </c>
      <c r="H15" s="3" t="n">
        <v>46095</v>
      </c>
      <c r="I15" s="3" t="n">
        <v>46098</v>
      </c>
      <c r="J15" s="3" t="n">
        <v>46099</v>
      </c>
      <c r="K15" s="3" t="n">
        <v>46104</v>
      </c>
      <c r="L15" s="2" t="s">
        <v>37</v>
      </c>
      <c r="M15" s="3" t="n">
        <v>46112</v>
      </c>
      <c r="N15" s="3" t="n">
        <v>46115</v>
      </c>
      <c r="O15" s="3" t="n">
        <v>46117</v>
      </c>
      <c r="P15" s="2" t="s">
        <v>38</v>
      </c>
      <c r="Q15" s="2" t="s">
        <v>38</v>
      </c>
      <c r="R15" s="2"/>
      <c r="S15" s="2"/>
      <c r="U15" s="2" t="n">
        <f aca="false">IF(AND(F15&lt;&gt;"",G15&lt;&gt;""),G15-F15,"")</f>
        <v>5</v>
      </c>
      <c r="V15" s="2" t="n">
        <f aca="false">IF(AND(G15&lt;&gt;"",H15&lt;&gt;""),H15-G15,"")</f>
        <v>3</v>
      </c>
      <c r="W15" s="2" t="n">
        <f aca="false">IF(AND(H15&lt;&gt;"",I15&lt;&gt;""),I15-H15,"")</f>
        <v>3</v>
      </c>
      <c r="X15" s="2" t="n">
        <f aca="false">IF(AND(I15&lt;&gt;"",J15&lt;&gt;""),J15-I15,"")</f>
        <v>1</v>
      </c>
      <c r="Y15" s="2" t="n">
        <f aca="false">IF(AND(J15&lt;&gt;"",K15&lt;&gt;""),K15-J15,"")</f>
        <v>5</v>
      </c>
      <c r="Z15" s="2" t="n">
        <f aca="false">IF(AND(K15&lt;&gt;"",M15&lt;&gt;""),M15-K15,"")</f>
        <v>8</v>
      </c>
      <c r="AA15" s="2" t="n">
        <f aca="false">IF(AND(M15&lt;&gt;"",N15&lt;&gt;""),N15-M15,"")</f>
        <v>3</v>
      </c>
      <c r="AB15" s="2" t="n">
        <f aca="false">IF(AND(N15&lt;&gt;"",O15&lt;&gt;""),O15-N15,"")</f>
        <v>2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56</v>
      </c>
      <c r="D16" s="2" t="s">
        <v>45</v>
      </c>
      <c r="E16" s="2" t="s">
        <v>57</v>
      </c>
      <c r="F16" s="3" t="n">
        <v>46081</v>
      </c>
      <c r="G16" s="3" t="n">
        <v>46083</v>
      </c>
      <c r="H16" s="3" t="n">
        <v>46089</v>
      </c>
      <c r="I16" s="3" t="n">
        <v>46103</v>
      </c>
      <c r="J16" s="3" t="n">
        <v>46105</v>
      </c>
      <c r="K16" s="3" t="n">
        <v>46108</v>
      </c>
      <c r="L16" s="2" t="s">
        <v>37</v>
      </c>
      <c r="M16" s="3" t="n">
        <v>46117</v>
      </c>
      <c r="N16" s="3" t="n">
        <v>46121</v>
      </c>
      <c r="O16" s="3" t="n">
        <v>46123</v>
      </c>
      <c r="P16" s="2" t="s">
        <v>38</v>
      </c>
      <c r="Q16" s="2" t="s">
        <v>38</v>
      </c>
      <c r="R16" s="2"/>
      <c r="S16" s="2"/>
      <c r="U16" s="2" t="n">
        <f aca="false">IF(AND(F16&lt;&gt;"",G16&lt;&gt;""),G16-F16,"")</f>
        <v>2</v>
      </c>
      <c r="V16" s="2" t="n">
        <f aca="false">IF(AND(G16&lt;&gt;"",H16&lt;&gt;""),H16-G16,"")</f>
        <v>6</v>
      </c>
      <c r="W16" s="2" t="n">
        <f aca="false">IF(AND(H16&lt;&gt;"",I16&lt;&gt;""),I16-H16,"")</f>
        <v>14</v>
      </c>
      <c r="X16" s="2" t="n">
        <f aca="false">IF(AND(I16&lt;&gt;"",J16&lt;&gt;""),J16-I16,"")</f>
        <v>2</v>
      </c>
      <c r="Y16" s="2" t="n">
        <f aca="false">IF(AND(J16&lt;&gt;"",K16&lt;&gt;""),K16-J16,"")</f>
        <v>3</v>
      </c>
      <c r="Z16" s="2" t="n">
        <f aca="false">IF(AND(K16&lt;&gt;"",M16&lt;&gt;""),M16-K16,"")</f>
        <v>9</v>
      </c>
      <c r="AA16" s="2" t="n">
        <f aca="false">IF(AND(M16&lt;&gt;"",N16&lt;&gt;""),N16-M16,"")</f>
        <v>4</v>
      </c>
      <c r="AB16" s="2" t="n">
        <f aca="false">IF(AND(N16&lt;&gt;"",O16&lt;&gt;""),O16-N16,"")</f>
        <v>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56</v>
      </c>
      <c r="D17" s="2" t="s">
        <v>30</v>
      </c>
      <c r="E17" s="2" t="s">
        <v>57</v>
      </c>
      <c r="F17" s="3" t="n">
        <v>46178</v>
      </c>
      <c r="G17" s="3" t="n">
        <v>46182</v>
      </c>
      <c r="H17" s="3" t="n">
        <v>46187</v>
      </c>
      <c r="I17" s="3" t="n">
        <v>46197</v>
      </c>
      <c r="J17" s="3" t="n">
        <v>46200</v>
      </c>
      <c r="K17" s="3" t="n">
        <v>46206</v>
      </c>
      <c r="L17" s="2" t="s">
        <v>37</v>
      </c>
      <c r="M17" s="3" t="n">
        <v>46212</v>
      </c>
      <c r="N17" s="3" t="n">
        <v>46222</v>
      </c>
      <c r="O17" s="3" t="n">
        <v>46226</v>
      </c>
      <c r="P17" s="2" t="s">
        <v>38</v>
      </c>
      <c r="Q17" s="2" t="s">
        <v>38</v>
      </c>
      <c r="R17" s="2"/>
      <c r="S17" s="2"/>
      <c r="U17" s="2" t="n">
        <f aca="false">IF(AND(F17&lt;&gt;"",G17&lt;&gt;""),G17-F17,"")</f>
        <v>4</v>
      </c>
      <c r="V17" s="2" t="n">
        <f aca="false">IF(AND(G17&lt;&gt;"",H17&lt;&gt;""),H17-G17,"")</f>
        <v>5</v>
      </c>
      <c r="W17" s="2" t="n">
        <f aca="false">IF(AND(H17&lt;&gt;"",I17&lt;&gt;""),I17-H17,"")</f>
        <v>10</v>
      </c>
      <c r="X17" s="2" t="n">
        <f aca="false">IF(AND(I17&lt;&gt;"",J17&lt;&gt;""),J17-I17,"")</f>
        <v>3</v>
      </c>
      <c r="Y17" s="2" t="n">
        <f aca="false">IF(AND(J17&lt;&gt;"",K17&lt;&gt;""),K17-J17,"")</f>
        <v>6</v>
      </c>
      <c r="Z17" s="2" t="n">
        <f aca="false">IF(AND(K17&lt;&gt;"",M17&lt;&gt;""),M17-K17,"")</f>
        <v>6</v>
      </c>
      <c r="AA17" s="2" t="n">
        <f aca="false">IF(AND(M17&lt;&gt;"",N17&lt;&gt;""),N17-M17,"")</f>
        <v>10</v>
      </c>
      <c r="AB17" s="2" t="n">
        <f aca="false">IF(AND(N17&lt;&gt;"",O17&lt;&gt;""),O17-N17,"")</f>
        <v>4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56</v>
      </c>
      <c r="D18" s="2" t="s">
        <v>45</v>
      </c>
      <c r="E18" s="2" t="s">
        <v>57</v>
      </c>
      <c r="F18" s="3" t="n">
        <v>46192</v>
      </c>
      <c r="G18" s="3" t="n">
        <v>46193</v>
      </c>
      <c r="H18" s="3" t="n">
        <v>46195</v>
      </c>
      <c r="I18" s="2"/>
      <c r="J18" s="2"/>
      <c r="K18" s="2"/>
      <c r="L18" s="2"/>
      <c r="M18" s="2"/>
      <c r="N18" s="2"/>
      <c r="O18" s="2"/>
      <c r="P18" s="2" t="s">
        <v>32</v>
      </c>
      <c r="Q18" s="2" t="s">
        <v>32</v>
      </c>
      <c r="R18" s="2" t="s">
        <v>84</v>
      </c>
      <c r="S18" s="2" t="s">
        <v>85</v>
      </c>
      <c r="U18" s="2" t="n">
        <f aca="false">IF(AND(F18&lt;&gt;"",G18&lt;&gt;""),G18-F18,"")</f>
        <v>1</v>
      </c>
      <c r="V18" s="2" t="n">
        <f aca="false">IF(AND(G18&lt;&gt;"",H18&lt;&gt;""),H18-G18,"")</f>
        <v>2</v>
      </c>
      <c r="W18" s="2" t="str">
        <f aca="false">IF(AND(H18&lt;&gt;"",I18&lt;&gt;""),I18-H18,"")</f>
        <v/>
      </c>
      <c r="X18" s="2" t="str">
        <f aca="false">IF(AND(I18&lt;&gt;"",J18&lt;&gt;""),J18-I18,"")</f>
        <v/>
      </c>
      <c r="Y18" s="2" t="str">
        <f aca="false">IF(AND(J18&lt;&gt;"",K18&lt;&gt;""),K18-J18,"")</f>
        <v/>
      </c>
      <c r="Z18" s="2" t="str">
        <f aca="false">IF(AND(K18&lt;&gt;"",M18&lt;&gt;""),M18-K18,"")</f>
        <v/>
      </c>
      <c r="AA18" s="2" t="str">
        <f aca="false">IF(AND(M18&lt;&gt;"",N18&lt;&gt;""),N18-M18,"")</f>
        <v/>
      </c>
      <c r="AB18" s="2" t="str">
        <f aca="false">IF(AND(N18&lt;&gt;"",O18&lt;&gt;""),O18-N18,"")</f>
        <v/>
      </c>
    </row>
    <row r="19" customFormat="false" ht="15" hidden="false" customHeight="false" outlineLevel="0" collapsed="false">
      <c r="A19" s="2" t="s">
        <v>86</v>
      </c>
      <c r="B19" s="2" t="s">
        <v>87</v>
      </c>
      <c r="C19" s="2" t="s">
        <v>56</v>
      </c>
      <c r="D19" s="2" t="s">
        <v>30</v>
      </c>
      <c r="E19" s="2" t="s">
        <v>57</v>
      </c>
      <c r="F19" s="3" t="n">
        <v>46184</v>
      </c>
      <c r="G19" s="3" t="n">
        <v>46185</v>
      </c>
      <c r="H19" s="3" t="n">
        <v>46187</v>
      </c>
      <c r="I19" s="3" t="n">
        <v>46190</v>
      </c>
      <c r="J19" s="3" t="n">
        <v>46191</v>
      </c>
      <c r="K19" s="3" t="n">
        <v>46198</v>
      </c>
      <c r="L19" s="2" t="s">
        <v>37</v>
      </c>
      <c r="M19" s="3" t="n">
        <v>46203</v>
      </c>
      <c r="N19" s="3" t="n">
        <v>46206</v>
      </c>
      <c r="O19" s="3" t="n">
        <v>46211</v>
      </c>
      <c r="P19" s="2" t="s">
        <v>38</v>
      </c>
      <c r="Q19" s="2" t="s">
        <v>38</v>
      </c>
      <c r="R19" s="2"/>
      <c r="S19" s="2"/>
      <c r="U19" s="2" t="n">
        <f aca="false">IF(AND(F19&lt;&gt;"",G19&lt;&gt;""),G19-F19,"")</f>
        <v>1</v>
      </c>
      <c r="V19" s="2" t="n">
        <f aca="false">IF(AND(G19&lt;&gt;"",H19&lt;&gt;""),H19-G19,"")</f>
        <v>2</v>
      </c>
      <c r="W19" s="2" t="n">
        <f aca="false">IF(AND(H19&lt;&gt;"",I19&lt;&gt;""),I19-H19,"")</f>
        <v>3</v>
      </c>
      <c r="X19" s="2" t="n">
        <f aca="false">IF(AND(I19&lt;&gt;"",J19&lt;&gt;""),J19-I19,"")</f>
        <v>1</v>
      </c>
      <c r="Y19" s="2" t="n">
        <f aca="false">IF(AND(J19&lt;&gt;"",K19&lt;&gt;""),K19-J19,"")</f>
        <v>7</v>
      </c>
      <c r="Z19" s="2" t="n">
        <f aca="false">IF(AND(K19&lt;&gt;"",M19&lt;&gt;""),M19-K19,"")</f>
        <v>5</v>
      </c>
      <c r="AA19" s="2" t="n">
        <f aca="false">IF(AND(M19&lt;&gt;"",N19&lt;&gt;""),N19-M19,"")</f>
        <v>3</v>
      </c>
      <c r="AB19" s="2" t="n">
        <f aca="false">IF(AND(N19&lt;&gt;"",O19&lt;&gt;""),O19-N19,"")</f>
        <v>5</v>
      </c>
    </row>
    <row r="20" customFormat="false" ht="15" hidden="false" customHeight="false" outlineLevel="0" collapsed="false">
      <c r="A20" s="2" t="s">
        <v>88</v>
      </c>
      <c r="B20" s="2" t="s">
        <v>89</v>
      </c>
      <c r="C20" s="2" t="s">
        <v>56</v>
      </c>
      <c r="D20" s="2" t="s">
        <v>67</v>
      </c>
      <c r="E20" s="2" t="s">
        <v>57</v>
      </c>
      <c r="F20" s="3" t="n">
        <v>46106</v>
      </c>
      <c r="G20" s="3" t="n">
        <v>46109</v>
      </c>
      <c r="H20" s="3" t="n">
        <v>46114</v>
      </c>
      <c r="I20" s="3" t="n">
        <v>46119</v>
      </c>
      <c r="J20" s="3" t="n">
        <v>46120</v>
      </c>
      <c r="K20" s="2"/>
      <c r="L20" s="2"/>
      <c r="M20" s="2"/>
      <c r="N20" s="2"/>
      <c r="O20" s="2"/>
      <c r="P20" s="2" t="s">
        <v>32</v>
      </c>
      <c r="Q20" s="2" t="s">
        <v>32</v>
      </c>
      <c r="R20" s="2" t="s">
        <v>41</v>
      </c>
      <c r="S20" s="2" t="s">
        <v>73</v>
      </c>
      <c r="U20" s="2" t="n">
        <f aca="false">IF(AND(F20&lt;&gt;"",G20&lt;&gt;""),G20-F20,"")</f>
        <v>3</v>
      </c>
      <c r="V20" s="2" t="n">
        <f aca="false">IF(AND(G20&lt;&gt;"",H20&lt;&gt;""),H20-G20,"")</f>
        <v>5</v>
      </c>
      <c r="W20" s="2" t="n">
        <f aca="false">IF(AND(H20&lt;&gt;"",I20&lt;&gt;""),I20-H20,"")</f>
        <v>5</v>
      </c>
      <c r="X20" s="2" t="n">
        <f aca="false">IF(AND(I20&lt;&gt;"",J20&lt;&gt;""),J20-I20,"")</f>
        <v>1</v>
      </c>
      <c r="Y20" s="2" t="str">
        <f aca="false">IF(AND(J20&lt;&gt;"",K20&lt;&gt;""),K20-J20,"")</f>
        <v/>
      </c>
      <c r="Z20" s="2" t="str">
        <f aca="false">IF(AND(K20&lt;&gt;"",M20&lt;&gt;""),M20-K20,"")</f>
        <v/>
      </c>
      <c r="AA20" s="2" t="str">
        <f aca="false">IF(AND(M20&lt;&gt;"",N20&lt;&gt;""),N20-M20,"")</f>
        <v/>
      </c>
      <c r="AB20" s="2" t="str">
        <f aca="false">IF(AND(N20&lt;&gt;"",O20&lt;&gt;""),O20-N20,"")</f>
        <v/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56</v>
      </c>
      <c r="D21" s="2" t="s">
        <v>60</v>
      </c>
      <c r="E21" s="2" t="s">
        <v>57</v>
      </c>
      <c r="F21" s="3" t="n">
        <v>46183</v>
      </c>
      <c r="G21" s="3" t="n">
        <v>46186</v>
      </c>
      <c r="H21" s="2"/>
      <c r="I21" s="2"/>
      <c r="J21" s="2"/>
      <c r="K21" s="2"/>
      <c r="L21" s="2"/>
      <c r="M21" s="2"/>
      <c r="N21" s="2"/>
      <c r="O21" s="2"/>
      <c r="P21" s="2" t="s">
        <v>32</v>
      </c>
      <c r="Q21" s="2" t="s">
        <v>32</v>
      </c>
      <c r="R21" s="2" t="s">
        <v>33</v>
      </c>
      <c r="S21" s="2" t="s">
        <v>34</v>
      </c>
      <c r="U21" s="2" t="n">
        <f aca="false">IF(AND(F21&lt;&gt;"",G21&lt;&gt;""),G21-F21,"")</f>
        <v>3</v>
      </c>
      <c r="V21" s="2" t="str">
        <f aca="false">IF(AND(G21&lt;&gt;"",H21&lt;&gt;""),H21-G21,"")</f>
        <v/>
      </c>
      <c r="W21" s="2" t="str">
        <f aca="false">IF(AND(H21&lt;&gt;"",I21&lt;&gt;""),I21-H21,"")</f>
        <v/>
      </c>
      <c r="X21" s="2" t="str">
        <f aca="false">IF(AND(I21&lt;&gt;"",J21&lt;&gt;""),J21-I21,"")</f>
        <v/>
      </c>
      <c r="Y21" s="2" t="str">
        <f aca="false">IF(AND(J21&lt;&gt;"",K21&lt;&gt;""),K21-J21,"")</f>
        <v/>
      </c>
      <c r="Z21" s="2" t="str">
        <f aca="false">IF(AND(K21&lt;&gt;"",M21&lt;&gt;""),M21-K21,"")</f>
        <v/>
      </c>
      <c r="AA21" s="2" t="str">
        <f aca="false">IF(AND(M21&lt;&gt;"",N21&lt;&gt;""),N21-M21,"")</f>
        <v/>
      </c>
      <c r="AB21" s="2" t="str">
        <f aca="false">IF(AND(N21&lt;&gt;"",O21&lt;&gt;""),O21-N21,"")</f>
        <v/>
      </c>
    </row>
    <row r="22" customFormat="false" ht="15" hidden="false" customHeight="false" outlineLevel="0" collapsed="false">
      <c r="A22" s="2" t="s">
        <v>92</v>
      </c>
      <c r="B22" s="2" t="s">
        <v>93</v>
      </c>
      <c r="C22" s="2" t="s">
        <v>94</v>
      </c>
      <c r="D22" s="2" t="s">
        <v>30</v>
      </c>
      <c r="E22" s="2" t="s">
        <v>31</v>
      </c>
      <c r="F22" s="3" t="n">
        <v>46193</v>
      </c>
      <c r="G22" s="3" t="n">
        <v>46196</v>
      </c>
      <c r="H22" s="3" t="n">
        <v>46202</v>
      </c>
      <c r="I22" s="2"/>
      <c r="J22" s="2"/>
      <c r="K22" s="2"/>
      <c r="L22" s="2"/>
      <c r="M22" s="2"/>
      <c r="N22" s="2"/>
      <c r="O22" s="2"/>
      <c r="P22" s="2" t="s">
        <v>32</v>
      </c>
      <c r="Q22" s="2" t="s">
        <v>32</v>
      </c>
      <c r="R22" s="2" t="s">
        <v>84</v>
      </c>
      <c r="S22" s="2" t="s">
        <v>95</v>
      </c>
      <c r="U22" s="2" t="n">
        <f aca="false">IF(AND(F22&lt;&gt;"",G22&lt;&gt;""),G22-F22,"")</f>
        <v>3</v>
      </c>
      <c r="V22" s="2" t="n">
        <f aca="false">IF(AND(G22&lt;&gt;"",H22&lt;&gt;""),H22-G22,"")</f>
        <v>6</v>
      </c>
      <c r="W22" s="2" t="str">
        <f aca="false">IF(AND(H22&lt;&gt;"",I22&lt;&gt;""),I22-H22,"")</f>
        <v/>
      </c>
      <c r="X22" s="2" t="str">
        <f aca="false">IF(AND(I22&lt;&gt;"",J22&lt;&gt;""),J22-I22,"")</f>
        <v/>
      </c>
      <c r="Y22" s="2" t="str">
        <f aca="false">IF(AND(J22&lt;&gt;"",K22&lt;&gt;""),K22-J22,"")</f>
        <v/>
      </c>
      <c r="Z22" s="2" t="str">
        <f aca="false">IF(AND(K22&lt;&gt;"",M22&lt;&gt;""),M22-K22,"")</f>
        <v/>
      </c>
      <c r="AA22" s="2" t="str">
        <f aca="false">IF(AND(M22&lt;&gt;"",N22&lt;&gt;""),N22-M22,"")</f>
        <v/>
      </c>
      <c r="AB22" s="2" t="str">
        <f aca="false">IF(AND(N22&lt;&gt;"",O22&lt;&gt;""),O22-N22,"")</f>
        <v/>
      </c>
    </row>
    <row r="23" customFormat="false" ht="15" hidden="false" customHeight="false" outlineLevel="0" collapsed="false">
      <c r="A23" s="2" t="s">
        <v>96</v>
      </c>
      <c r="B23" s="2" t="s">
        <v>97</v>
      </c>
      <c r="C23" s="2" t="s">
        <v>94</v>
      </c>
      <c r="D23" s="2" t="s">
        <v>67</v>
      </c>
      <c r="E23" s="2" t="s">
        <v>31</v>
      </c>
      <c r="F23" s="3" t="n">
        <v>46088</v>
      </c>
      <c r="G23" s="3" t="n">
        <v>46091</v>
      </c>
      <c r="H23" s="2"/>
      <c r="I23" s="2"/>
      <c r="J23" s="2"/>
      <c r="K23" s="2"/>
      <c r="L23" s="2"/>
      <c r="M23" s="2"/>
      <c r="N23" s="2"/>
      <c r="O23" s="2"/>
      <c r="P23" s="2" t="s">
        <v>32</v>
      </c>
      <c r="Q23" s="2" t="s">
        <v>32</v>
      </c>
      <c r="R23" s="2" t="s">
        <v>33</v>
      </c>
      <c r="S23" s="2" t="s">
        <v>53</v>
      </c>
      <c r="U23" s="2" t="n">
        <f aca="false">IF(AND(F23&lt;&gt;"",G23&lt;&gt;""),G23-F23,"")</f>
        <v>3</v>
      </c>
      <c r="V23" s="2" t="str">
        <f aca="false">IF(AND(G23&lt;&gt;"",H23&lt;&gt;""),H23-G23,"")</f>
        <v/>
      </c>
      <c r="W23" s="2" t="str">
        <f aca="false">IF(AND(H23&lt;&gt;"",I23&lt;&gt;""),I23-H23,"")</f>
        <v/>
      </c>
      <c r="X23" s="2" t="str">
        <f aca="false">IF(AND(I23&lt;&gt;"",J23&lt;&gt;""),J23-I23,"")</f>
        <v/>
      </c>
      <c r="Y23" s="2" t="str">
        <f aca="false">IF(AND(J23&lt;&gt;"",K23&lt;&gt;""),K23-J23,"")</f>
        <v/>
      </c>
      <c r="Z23" s="2" t="str">
        <f aca="false">IF(AND(K23&lt;&gt;"",M23&lt;&gt;""),M23-K23,"")</f>
        <v/>
      </c>
      <c r="AA23" s="2" t="str">
        <f aca="false">IF(AND(M23&lt;&gt;"",N23&lt;&gt;""),N23-M23,"")</f>
        <v/>
      </c>
      <c r="AB23" s="2" t="str">
        <f aca="false">IF(AND(N23&lt;&gt;"",O23&lt;&gt;""),O23-N23,"")</f>
        <v/>
      </c>
    </row>
    <row r="24" customFormat="false" ht="15" hidden="false" customHeight="false" outlineLevel="0" collapsed="false">
      <c r="A24" s="2" t="s">
        <v>98</v>
      </c>
      <c r="B24" s="2" t="s">
        <v>99</v>
      </c>
      <c r="C24" s="2" t="s">
        <v>94</v>
      </c>
      <c r="D24" s="2" t="s">
        <v>30</v>
      </c>
      <c r="E24" s="2" t="s">
        <v>31</v>
      </c>
      <c r="F24" s="3" t="n">
        <v>46107</v>
      </c>
      <c r="G24" s="3" t="n">
        <v>46110</v>
      </c>
      <c r="H24" s="3" t="n">
        <v>46114</v>
      </c>
      <c r="I24" s="3" t="n">
        <v>46124</v>
      </c>
      <c r="J24" s="3" t="n">
        <v>46130</v>
      </c>
      <c r="K24" s="3" t="n">
        <v>46135</v>
      </c>
      <c r="L24" s="2" t="s">
        <v>48</v>
      </c>
      <c r="M24" s="3" t="n">
        <v>46137</v>
      </c>
      <c r="N24" s="2"/>
      <c r="O24" s="2"/>
      <c r="P24" s="2" t="s">
        <v>32</v>
      </c>
      <c r="Q24" s="2" t="s">
        <v>32</v>
      </c>
      <c r="R24" s="2" t="s">
        <v>49</v>
      </c>
      <c r="S24" s="2" t="s">
        <v>100</v>
      </c>
      <c r="U24" s="2" t="n">
        <f aca="false">IF(AND(F24&lt;&gt;"",G24&lt;&gt;""),G24-F24,"")</f>
        <v>3</v>
      </c>
      <c r="V24" s="2" t="n">
        <f aca="false">IF(AND(G24&lt;&gt;"",H24&lt;&gt;""),H24-G24,"")</f>
        <v>4</v>
      </c>
      <c r="W24" s="2" t="n">
        <f aca="false">IF(AND(H24&lt;&gt;"",I24&lt;&gt;""),I24-H24,"")</f>
        <v>10</v>
      </c>
      <c r="X24" s="2" t="n">
        <f aca="false">IF(AND(I24&lt;&gt;"",J24&lt;&gt;""),J24-I24,"")</f>
        <v>6</v>
      </c>
      <c r="Y24" s="2" t="n">
        <f aca="false">IF(AND(J24&lt;&gt;"",K24&lt;&gt;""),K24-J24,"")</f>
        <v>5</v>
      </c>
      <c r="Z24" s="2" t="n">
        <f aca="false">IF(AND(K24&lt;&gt;"",M24&lt;&gt;""),M24-K24,"")</f>
        <v>2</v>
      </c>
      <c r="AA24" s="2" t="str">
        <f aca="false">IF(AND(M24&lt;&gt;"",N24&lt;&gt;""),N24-M24,"")</f>
        <v/>
      </c>
      <c r="AB24" s="2" t="str">
        <f aca="false">IF(AND(N24&lt;&gt;"",O24&lt;&gt;""),O24-N24,"")</f>
        <v/>
      </c>
    </row>
    <row r="25" customFormat="false" ht="15" hidden="false" customHeight="false" outlineLevel="0" collapsed="false">
      <c r="A25" s="2" t="s">
        <v>101</v>
      </c>
      <c r="B25" s="2" t="s">
        <v>102</v>
      </c>
      <c r="C25" s="2" t="s">
        <v>94</v>
      </c>
      <c r="D25" s="2" t="s">
        <v>45</v>
      </c>
      <c r="E25" s="2" t="s">
        <v>31</v>
      </c>
      <c r="F25" s="3" t="n">
        <v>46195</v>
      </c>
      <c r="G25" s="3" t="n">
        <v>46199</v>
      </c>
      <c r="H25" s="3" t="n">
        <v>46201</v>
      </c>
      <c r="I25" s="2"/>
      <c r="J25" s="2"/>
      <c r="K25" s="2"/>
      <c r="L25" s="2"/>
      <c r="M25" s="2"/>
      <c r="N25" s="2"/>
      <c r="O25" s="2"/>
      <c r="P25" s="2" t="s">
        <v>32</v>
      </c>
      <c r="Q25" s="2" t="s">
        <v>32</v>
      </c>
      <c r="R25" s="2" t="s">
        <v>84</v>
      </c>
      <c r="S25" s="2" t="s">
        <v>95</v>
      </c>
      <c r="U25" s="2" t="n">
        <f aca="false">IF(AND(F25&lt;&gt;"",G25&lt;&gt;""),G25-F25,"")</f>
        <v>4</v>
      </c>
      <c r="V25" s="2" t="n">
        <f aca="false">IF(AND(G25&lt;&gt;"",H25&lt;&gt;""),H25-G25,"")</f>
        <v>2</v>
      </c>
      <c r="W25" s="2" t="str">
        <f aca="false">IF(AND(H25&lt;&gt;"",I25&lt;&gt;""),I25-H25,"")</f>
        <v/>
      </c>
      <c r="X25" s="2" t="str">
        <f aca="false">IF(AND(I25&lt;&gt;"",J25&lt;&gt;""),J25-I25,"")</f>
        <v/>
      </c>
      <c r="Y25" s="2" t="str">
        <f aca="false">IF(AND(J25&lt;&gt;"",K25&lt;&gt;""),K25-J25,"")</f>
        <v/>
      </c>
      <c r="Z25" s="2" t="str">
        <f aca="false">IF(AND(K25&lt;&gt;"",M25&lt;&gt;""),M25-K25,"")</f>
        <v/>
      </c>
      <c r="AA25" s="2" t="str">
        <f aca="false">IF(AND(M25&lt;&gt;"",N25&lt;&gt;""),N25-M25,"")</f>
        <v/>
      </c>
      <c r="AB25" s="2" t="str">
        <f aca="false">IF(AND(N25&lt;&gt;"",O25&lt;&gt;""),O25-N25,"")</f>
        <v/>
      </c>
    </row>
    <row r="26" customFormat="false" ht="15" hidden="false" customHeight="false" outlineLevel="0" collapsed="false">
      <c r="A26" s="2" t="s">
        <v>103</v>
      </c>
      <c r="B26" s="2" t="s">
        <v>104</v>
      </c>
      <c r="C26" s="2" t="s">
        <v>94</v>
      </c>
      <c r="D26" s="2" t="s">
        <v>30</v>
      </c>
      <c r="E26" s="2" t="s">
        <v>31</v>
      </c>
      <c r="F26" s="3" t="n">
        <v>46148</v>
      </c>
      <c r="G26" s="3" t="n">
        <v>46153</v>
      </c>
      <c r="H26" s="3" t="n">
        <v>46158</v>
      </c>
      <c r="I26" s="3" t="n">
        <v>46168</v>
      </c>
      <c r="J26" s="3" t="n">
        <v>46170</v>
      </c>
      <c r="K26" s="3" t="n">
        <v>46178</v>
      </c>
      <c r="L26" s="2" t="s">
        <v>37</v>
      </c>
      <c r="M26" s="3" t="n">
        <v>46181</v>
      </c>
      <c r="N26" s="3" t="n">
        <v>46190</v>
      </c>
      <c r="O26" s="3" t="n">
        <v>46193</v>
      </c>
      <c r="P26" s="2" t="s">
        <v>38</v>
      </c>
      <c r="Q26" s="2" t="s">
        <v>38</v>
      </c>
      <c r="R26" s="2"/>
      <c r="S26" s="2"/>
      <c r="U26" s="2" t="n">
        <f aca="false">IF(AND(F26&lt;&gt;"",G26&lt;&gt;""),G26-F26,"")</f>
        <v>5</v>
      </c>
      <c r="V26" s="2" t="n">
        <f aca="false">IF(AND(G26&lt;&gt;"",H26&lt;&gt;""),H26-G26,"")</f>
        <v>5</v>
      </c>
      <c r="W26" s="2" t="n">
        <f aca="false">IF(AND(H26&lt;&gt;"",I26&lt;&gt;""),I26-H26,"")</f>
        <v>10</v>
      </c>
      <c r="X26" s="2" t="n">
        <f aca="false">IF(AND(I26&lt;&gt;"",J26&lt;&gt;""),J26-I26,"")</f>
        <v>2</v>
      </c>
      <c r="Y26" s="2" t="n">
        <f aca="false">IF(AND(J26&lt;&gt;"",K26&lt;&gt;""),K26-J26,"")</f>
        <v>8</v>
      </c>
      <c r="Z26" s="2" t="n">
        <f aca="false">IF(AND(K26&lt;&gt;"",M26&lt;&gt;""),M26-K26,"")</f>
        <v>3</v>
      </c>
      <c r="AA26" s="2" t="n">
        <f aca="false">IF(AND(M26&lt;&gt;"",N26&lt;&gt;""),N26-M26,"")</f>
        <v>9</v>
      </c>
      <c r="AB26" s="2" t="n">
        <f aca="false">IF(AND(N26&lt;&gt;"",O26&lt;&gt;""),O26-N26,"")</f>
        <v>3</v>
      </c>
    </row>
    <row r="27" customFormat="false" ht="15" hidden="false" customHeight="false" outlineLevel="0" collapsed="false">
      <c r="A27" s="2" t="s">
        <v>105</v>
      </c>
      <c r="B27" s="2" t="s">
        <v>106</v>
      </c>
      <c r="C27" s="2" t="s">
        <v>94</v>
      </c>
      <c r="D27" s="2" t="s">
        <v>64</v>
      </c>
      <c r="E27" s="2" t="s">
        <v>31</v>
      </c>
      <c r="F27" s="3" t="n">
        <v>46099</v>
      </c>
      <c r="G27" s="3" t="n">
        <v>46103</v>
      </c>
      <c r="H27" s="2"/>
      <c r="I27" s="2"/>
      <c r="J27" s="2"/>
      <c r="K27" s="2"/>
      <c r="L27" s="2"/>
      <c r="M27" s="2"/>
      <c r="N27" s="2"/>
      <c r="O27" s="2"/>
      <c r="P27" s="2" t="s">
        <v>32</v>
      </c>
      <c r="Q27" s="2" t="s">
        <v>32</v>
      </c>
      <c r="R27" s="2" t="s">
        <v>33</v>
      </c>
      <c r="S27" s="2" t="s">
        <v>68</v>
      </c>
      <c r="U27" s="2" t="n">
        <f aca="false">IF(AND(F27&lt;&gt;"",G27&lt;&gt;""),G27-F27,"")</f>
        <v>4</v>
      </c>
      <c r="V27" s="2" t="str">
        <f aca="false">IF(AND(G27&lt;&gt;"",H27&lt;&gt;""),H27-G27,"")</f>
        <v/>
      </c>
      <c r="W27" s="2" t="str">
        <f aca="false">IF(AND(H27&lt;&gt;"",I27&lt;&gt;""),I27-H27,"")</f>
        <v/>
      </c>
      <c r="X27" s="2" t="str">
        <f aca="false">IF(AND(I27&lt;&gt;"",J27&lt;&gt;""),J27-I27,"")</f>
        <v/>
      </c>
      <c r="Y27" s="2" t="str">
        <f aca="false">IF(AND(J27&lt;&gt;"",K27&lt;&gt;""),K27-J27,"")</f>
        <v/>
      </c>
      <c r="Z27" s="2" t="str">
        <f aca="false">IF(AND(K27&lt;&gt;"",M27&lt;&gt;""),M27-K27,"")</f>
        <v/>
      </c>
      <c r="AA27" s="2" t="str">
        <f aca="false">IF(AND(M27&lt;&gt;"",N27&lt;&gt;""),N27-M27,"")</f>
        <v/>
      </c>
      <c r="AB27" s="2" t="str">
        <f aca="false">IF(AND(N27&lt;&gt;"",O27&lt;&gt;""),O27-N27,"")</f>
        <v/>
      </c>
    </row>
    <row r="28" customFormat="false" ht="15" hidden="false" customHeight="false" outlineLevel="0" collapsed="false">
      <c r="A28" s="2" t="s">
        <v>107</v>
      </c>
      <c r="B28" s="2" t="s">
        <v>108</v>
      </c>
      <c r="C28" s="2" t="s">
        <v>94</v>
      </c>
      <c r="D28" s="2" t="s">
        <v>67</v>
      </c>
      <c r="E28" s="2" t="s">
        <v>31</v>
      </c>
      <c r="F28" s="3" t="n">
        <v>46117</v>
      </c>
      <c r="G28" s="3" t="n">
        <v>46120</v>
      </c>
      <c r="H28" s="3" t="n">
        <v>46122</v>
      </c>
      <c r="I28" s="3" t="n">
        <v>46139</v>
      </c>
      <c r="J28" s="3" t="n">
        <v>46141</v>
      </c>
      <c r="K28" s="3" t="n">
        <v>46147</v>
      </c>
      <c r="L28" s="2" t="s">
        <v>37</v>
      </c>
      <c r="M28" s="3" t="n">
        <v>46154</v>
      </c>
      <c r="N28" s="3" t="n">
        <v>46160</v>
      </c>
      <c r="O28" s="3" t="n">
        <v>46163</v>
      </c>
      <c r="P28" s="2" t="s">
        <v>38</v>
      </c>
      <c r="Q28" s="2" t="s">
        <v>38</v>
      </c>
      <c r="R28" s="2"/>
      <c r="S28" s="2"/>
      <c r="U28" s="2" t="n">
        <f aca="false">IF(AND(F28&lt;&gt;"",G28&lt;&gt;""),G28-F28,"")</f>
        <v>3</v>
      </c>
      <c r="V28" s="2" t="n">
        <f aca="false">IF(AND(G28&lt;&gt;"",H28&lt;&gt;""),H28-G28,"")</f>
        <v>2</v>
      </c>
      <c r="W28" s="2" t="n">
        <f aca="false">IF(AND(H28&lt;&gt;"",I28&lt;&gt;""),I28-H28,"")</f>
        <v>17</v>
      </c>
      <c r="X28" s="2" t="n">
        <f aca="false">IF(AND(I28&lt;&gt;"",J28&lt;&gt;""),J28-I28,"")</f>
        <v>2</v>
      </c>
      <c r="Y28" s="2" t="n">
        <f aca="false">IF(AND(J28&lt;&gt;"",K28&lt;&gt;""),K28-J28,"")</f>
        <v>6</v>
      </c>
      <c r="Z28" s="2" t="n">
        <f aca="false">IF(AND(K28&lt;&gt;"",M28&lt;&gt;""),M28-K28,"")</f>
        <v>7</v>
      </c>
      <c r="AA28" s="2" t="n">
        <f aca="false">IF(AND(M28&lt;&gt;"",N28&lt;&gt;""),N28-M28,"")</f>
        <v>6</v>
      </c>
      <c r="AB28" s="2" t="n">
        <f aca="false">IF(AND(N28&lt;&gt;"",O28&lt;&gt;""),O28-N28,"")</f>
        <v>3</v>
      </c>
    </row>
    <row r="29" customFormat="false" ht="15" hidden="false" customHeight="false" outlineLevel="0" collapsed="false">
      <c r="A29" s="2" t="s">
        <v>109</v>
      </c>
      <c r="B29" s="2" t="s">
        <v>110</v>
      </c>
      <c r="C29" s="2" t="s">
        <v>94</v>
      </c>
      <c r="D29" s="2" t="s">
        <v>30</v>
      </c>
      <c r="E29" s="2" t="s">
        <v>31</v>
      </c>
      <c r="F29" s="3" t="n">
        <v>46071</v>
      </c>
      <c r="G29" s="3" t="n">
        <v>46074</v>
      </c>
      <c r="H29" s="3" t="n">
        <v>46080</v>
      </c>
      <c r="I29" s="3" t="n">
        <v>46084</v>
      </c>
      <c r="J29" s="3" t="n">
        <v>46085</v>
      </c>
      <c r="K29" s="3" t="n">
        <v>46090</v>
      </c>
      <c r="L29" s="2" t="s">
        <v>37</v>
      </c>
      <c r="M29" s="3" t="n">
        <v>46094</v>
      </c>
      <c r="N29" s="3" t="n">
        <v>46101</v>
      </c>
      <c r="O29" s="2"/>
      <c r="P29" s="2" t="s">
        <v>32</v>
      </c>
      <c r="Q29" s="2" t="s">
        <v>32</v>
      </c>
      <c r="R29" s="2" t="s">
        <v>111</v>
      </c>
      <c r="S29" s="2" t="s">
        <v>112</v>
      </c>
      <c r="U29" s="2" t="n">
        <f aca="false">IF(AND(F29&lt;&gt;"",G29&lt;&gt;""),G29-F29,"")</f>
        <v>3</v>
      </c>
      <c r="V29" s="2" t="n">
        <f aca="false">IF(AND(G29&lt;&gt;"",H29&lt;&gt;""),H29-G29,"")</f>
        <v>6</v>
      </c>
      <c r="W29" s="2" t="n">
        <f aca="false">IF(AND(H29&lt;&gt;"",I29&lt;&gt;""),I29-H29,"")</f>
        <v>4</v>
      </c>
      <c r="X29" s="2" t="n">
        <f aca="false">IF(AND(I29&lt;&gt;"",J29&lt;&gt;""),J29-I29,"")</f>
        <v>1</v>
      </c>
      <c r="Y29" s="2" t="n">
        <f aca="false">IF(AND(J29&lt;&gt;"",K29&lt;&gt;""),K29-J29,"")</f>
        <v>5</v>
      </c>
      <c r="Z29" s="2" t="n">
        <f aca="false">IF(AND(K29&lt;&gt;"",M29&lt;&gt;""),M29-K29,"")</f>
        <v>4</v>
      </c>
      <c r="AA29" s="2" t="n">
        <f aca="false">IF(AND(M29&lt;&gt;"",N29&lt;&gt;""),N29-M29,"")</f>
        <v>7</v>
      </c>
      <c r="AB29" s="2" t="str">
        <f aca="false">IF(AND(N29&lt;&gt;"",O29&lt;&gt;""),O29-N29,"")</f>
        <v/>
      </c>
    </row>
    <row r="30" customFormat="false" ht="15" hidden="false" customHeight="false" outlineLevel="0" collapsed="false">
      <c r="A30" s="2" t="s">
        <v>113</v>
      </c>
      <c r="B30" s="2" t="s">
        <v>114</v>
      </c>
      <c r="C30" s="2" t="s">
        <v>94</v>
      </c>
      <c r="D30" s="2" t="s">
        <v>45</v>
      </c>
      <c r="E30" s="2" t="s">
        <v>31</v>
      </c>
      <c r="F30" s="3" t="n">
        <v>46134</v>
      </c>
      <c r="G30" s="3" t="n">
        <v>46138</v>
      </c>
      <c r="H30" s="3" t="n">
        <v>46144</v>
      </c>
      <c r="I30" s="2"/>
      <c r="J30" s="2"/>
      <c r="K30" s="2"/>
      <c r="L30" s="2"/>
      <c r="M30" s="2"/>
      <c r="N30" s="2"/>
      <c r="O30" s="2"/>
      <c r="P30" s="2" t="s">
        <v>32</v>
      </c>
      <c r="Q30" s="2" t="s">
        <v>32</v>
      </c>
      <c r="R30" s="2" t="s">
        <v>84</v>
      </c>
      <c r="S30" s="2" t="s">
        <v>95</v>
      </c>
      <c r="U30" s="2" t="n">
        <f aca="false">IF(AND(F30&lt;&gt;"",G30&lt;&gt;""),G30-F30,"")</f>
        <v>4</v>
      </c>
      <c r="V30" s="2" t="n">
        <f aca="false">IF(AND(G30&lt;&gt;"",H30&lt;&gt;""),H30-G30,"")</f>
        <v>6</v>
      </c>
      <c r="W30" s="2" t="str">
        <f aca="false">IF(AND(H30&lt;&gt;"",I30&lt;&gt;""),I30-H30,"")</f>
        <v/>
      </c>
      <c r="X30" s="2" t="str">
        <f aca="false">IF(AND(I30&lt;&gt;"",J30&lt;&gt;""),J30-I30,"")</f>
        <v/>
      </c>
      <c r="Y30" s="2" t="str">
        <f aca="false">IF(AND(J30&lt;&gt;"",K30&lt;&gt;""),K30-J30,"")</f>
        <v/>
      </c>
      <c r="Z30" s="2" t="str">
        <f aca="false">IF(AND(K30&lt;&gt;"",M30&lt;&gt;""),M30-K30,"")</f>
        <v/>
      </c>
      <c r="AA30" s="2" t="str">
        <f aca="false">IF(AND(M30&lt;&gt;"",N30&lt;&gt;""),N30-M30,"")</f>
        <v/>
      </c>
      <c r="AB30" s="2" t="str">
        <f aca="false">IF(AND(N30&lt;&gt;"",O30&lt;&gt;""),O30-N30,"")</f>
        <v/>
      </c>
    </row>
    <row r="31" customFormat="false" ht="15" hidden="false" customHeight="false" outlineLevel="0" collapsed="false">
      <c r="A31" s="2" t="s">
        <v>115</v>
      </c>
      <c r="B31" s="2" t="s">
        <v>116</v>
      </c>
      <c r="C31" s="2" t="s">
        <v>117</v>
      </c>
      <c r="D31" s="2" t="s">
        <v>30</v>
      </c>
      <c r="E31" s="2" t="s">
        <v>57</v>
      </c>
      <c r="F31" s="3" t="n">
        <v>46191</v>
      </c>
      <c r="G31" s="3" t="n">
        <v>46193</v>
      </c>
      <c r="H31" s="3" t="n">
        <v>46195</v>
      </c>
      <c r="I31" s="3" t="n">
        <v>46199</v>
      </c>
      <c r="J31" s="3" t="n">
        <v>46205</v>
      </c>
      <c r="K31" s="3" t="n">
        <v>46212</v>
      </c>
      <c r="L31" s="2" t="s">
        <v>37</v>
      </c>
      <c r="M31" s="3" t="n">
        <v>46218</v>
      </c>
      <c r="N31" s="3" t="n">
        <v>46226</v>
      </c>
      <c r="O31" s="3" t="n">
        <v>46230</v>
      </c>
      <c r="P31" s="2" t="s">
        <v>38</v>
      </c>
      <c r="Q31" s="2" t="s">
        <v>38</v>
      </c>
      <c r="R31" s="2"/>
      <c r="S31" s="2"/>
      <c r="U31" s="2" t="n">
        <f aca="false">IF(AND(F31&lt;&gt;"",G31&lt;&gt;""),G31-F31,"")</f>
        <v>2</v>
      </c>
      <c r="V31" s="2" t="n">
        <f aca="false">IF(AND(G31&lt;&gt;"",H31&lt;&gt;""),H31-G31,"")</f>
        <v>2</v>
      </c>
      <c r="W31" s="2" t="n">
        <f aca="false">IF(AND(H31&lt;&gt;"",I31&lt;&gt;""),I31-H31,"")</f>
        <v>4</v>
      </c>
      <c r="X31" s="2" t="n">
        <f aca="false">IF(AND(I31&lt;&gt;"",J31&lt;&gt;""),J31-I31,"")</f>
        <v>6</v>
      </c>
      <c r="Y31" s="2" t="n">
        <f aca="false">IF(AND(J31&lt;&gt;"",K31&lt;&gt;""),K31-J31,"")</f>
        <v>7</v>
      </c>
      <c r="Z31" s="2" t="n">
        <f aca="false">IF(AND(K31&lt;&gt;"",M31&lt;&gt;""),M31-K31,"")</f>
        <v>6</v>
      </c>
      <c r="AA31" s="2" t="n">
        <f aca="false">IF(AND(M31&lt;&gt;"",N31&lt;&gt;""),N31-M31,"")</f>
        <v>8</v>
      </c>
      <c r="AB31" s="2" t="n">
        <f aca="false">IF(AND(N31&lt;&gt;"",O31&lt;&gt;""),O31-N31,"")</f>
        <v>4</v>
      </c>
    </row>
    <row r="32" customFormat="false" ht="15" hidden="false" customHeight="false" outlineLevel="0" collapsed="false">
      <c r="A32" s="2" t="s">
        <v>118</v>
      </c>
      <c r="B32" s="2" t="s">
        <v>119</v>
      </c>
      <c r="C32" s="2" t="s">
        <v>117</v>
      </c>
      <c r="D32" s="2" t="s">
        <v>60</v>
      </c>
      <c r="E32" s="2" t="s">
        <v>57</v>
      </c>
      <c r="F32" s="3" t="n">
        <v>46151</v>
      </c>
      <c r="G32" s="3" t="n">
        <v>46153</v>
      </c>
      <c r="H32" s="3" t="n">
        <v>46157</v>
      </c>
      <c r="I32" s="3" t="n">
        <v>46161</v>
      </c>
      <c r="J32" s="3" t="n">
        <v>46163</v>
      </c>
      <c r="K32" s="3" t="n">
        <v>46170</v>
      </c>
      <c r="L32" s="2" t="s">
        <v>37</v>
      </c>
      <c r="M32" s="3" t="n">
        <v>46177</v>
      </c>
      <c r="N32" s="3" t="n">
        <v>46187</v>
      </c>
      <c r="O32" s="3" t="n">
        <v>46192</v>
      </c>
      <c r="P32" s="2" t="s">
        <v>38</v>
      </c>
      <c r="Q32" s="2" t="s">
        <v>38</v>
      </c>
      <c r="R32" s="2"/>
      <c r="S32" s="2"/>
      <c r="U32" s="2" t="n">
        <f aca="false">IF(AND(F32&lt;&gt;"",G32&lt;&gt;""),G32-F32,"")</f>
        <v>2</v>
      </c>
      <c r="V32" s="2" t="n">
        <f aca="false">IF(AND(G32&lt;&gt;"",H32&lt;&gt;""),H32-G32,"")</f>
        <v>4</v>
      </c>
      <c r="W32" s="2" t="n">
        <f aca="false">IF(AND(H32&lt;&gt;"",I32&lt;&gt;""),I32-H32,"")</f>
        <v>4</v>
      </c>
      <c r="X32" s="2" t="n">
        <f aca="false">IF(AND(I32&lt;&gt;"",J32&lt;&gt;""),J32-I32,"")</f>
        <v>2</v>
      </c>
      <c r="Y32" s="2" t="n">
        <f aca="false">IF(AND(J32&lt;&gt;"",K32&lt;&gt;""),K32-J32,"")</f>
        <v>7</v>
      </c>
      <c r="Z32" s="2" t="n">
        <f aca="false">IF(AND(K32&lt;&gt;"",M32&lt;&gt;""),M32-K32,"")</f>
        <v>7</v>
      </c>
      <c r="AA32" s="2" t="n">
        <f aca="false">IF(AND(M32&lt;&gt;"",N32&lt;&gt;""),N32-M32,"")</f>
        <v>10</v>
      </c>
      <c r="AB32" s="2" t="n">
        <f aca="false">IF(AND(N32&lt;&gt;"",O32&lt;&gt;""),O32-N32,"")</f>
        <v>5</v>
      </c>
    </row>
    <row r="33" customFormat="false" ht="15" hidden="false" customHeight="false" outlineLevel="0" collapsed="false">
      <c r="A33" s="2" t="s">
        <v>120</v>
      </c>
      <c r="B33" s="2" t="s">
        <v>121</v>
      </c>
      <c r="C33" s="2" t="s">
        <v>117</v>
      </c>
      <c r="D33" s="2" t="s">
        <v>30</v>
      </c>
      <c r="E33" s="2" t="s">
        <v>57</v>
      </c>
      <c r="F33" s="3" t="n">
        <v>46139</v>
      </c>
      <c r="G33" s="3" t="n">
        <v>46140</v>
      </c>
      <c r="H33" s="3" t="n">
        <v>46143</v>
      </c>
      <c r="I33" s="3" t="n">
        <v>46156</v>
      </c>
      <c r="J33" s="3" t="n">
        <v>46157</v>
      </c>
      <c r="K33" s="2"/>
      <c r="L33" s="2"/>
      <c r="M33" s="2"/>
      <c r="N33" s="2"/>
      <c r="O33" s="2"/>
      <c r="P33" s="2" t="s">
        <v>32</v>
      </c>
      <c r="Q33" s="2" t="s">
        <v>32</v>
      </c>
      <c r="R33" s="2" t="s">
        <v>41</v>
      </c>
      <c r="S33" s="2" t="s">
        <v>42</v>
      </c>
      <c r="U33" s="2" t="n">
        <f aca="false">IF(AND(F33&lt;&gt;"",G33&lt;&gt;""),G33-F33,"")</f>
        <v>1</v>
      </c>
      <c r="V33" s="2" t="n">
        <f aca="false">IF(AND(G33&lt;&gt;"",H33&lt;&gt;""),H33-G33,"")</f>
        <v>3</v>
      </c>
      <c r="W33" s="2" t="n">
        <f aca="false">IF(AND(H33&lt;&gt;"",I33&lt;&gt;""),I33-H33,"")</f>
        <v>13</v>
      </c>
      <c r="X33" s="2" t="n">
        <f aca="false">IF(AND(I33&lt;&gt;"",J33&lt;&gt;""),J33-I33,"")</f>
        <v>1</v>
      </c>
      <c r="Y33" s="2" t="str">
        <f aca="false">IF(AND(J33&lt;&gt;"",K33&lt;&gt;""),K33-J33,"")</f>
        <v/>
      </c>
      <c r="Z33" s="2" t="str">
        <f aca="false">IF(AND(K33&lt;&gt;"",M33&lt;&gt;""),M33-K33,"")</f>
        <v/>
      </c>
      <c r="AA33" s="2" t="str">
        <f aca="false">IF(AND(M33&lt;&gt;"",N33&lt;&gt;""),N33-M33,"")</f>
        <v/>
      </c>
      <c r="AB33" s="2" t="str">
        <f aca="false">IF(AND(N33&lt;&gt;"",O33&lt;&gt;""),O33-N33,"")</f>
        <v/>
      </c>
    </row>
    <row r="34" customFormat="false" ht="15" hidden="false" customHeight="false" outlineLevel="0" collapsed="false">
      <c r="A34" s="2" t="s">
        <v>122</v>
      </c>
      <c r="B34" s="2" t="s">
        <v>123</v>
      </c>
      <c r="C34" s="2" t="s">
        <v>117</v>
      </c>
      <c r="D34" s="2" t="s">
        <v>60</v>
      </c>
      <c r="E34" s="2" t="s">
        <v>57</v>
      </c>
      <c r="F34" s="3" t="n">
        <v>46201</v>
      </c>
      <c r="G34" s="3" t="n">
        <v>46203</v>
      </c>
      <c r="H34" s="3" t="n">
        <v>46208</v>
      </c>
      <c r="I34" s="3" t="n">
        <v>46218</v>
      </c>
      <c r="J34" s="3" t="n">
        <v>46222</v>
      </c>
      <c r="K34" s="2"/>
      <c r="L34" s="2"/>
      <c r="M34" s="2"/>
      <c r="N34" s="2"/>
      <c r="O34" s="2"/>
      <c r="P34" s="2" t="s">
        <v>32</v>
      </c>
      <c r="Q34" s="2" t="s">
        <v>32</v>
      </c>
      <c r="R34" s="2" t="s">
        <v>41</v>
      </c>
      <c r="S34" s="2" t="s">
        <v>73</v>
      </c>
      <c r="U34" s="2" t="n">
        <f aca="false">IF(AND(F34&lt;&gt;"",G34&lt;&gt;""),G34-F34,"")</f>
        <v>2</v>
      </c>
      <c r="V34" s="2" t="n">
        <f aca="false">IF(AND(G34&lt;&gt;"",H34&lt;&gt;""),H34-G34,"")</f>
        <v>5</v>
      </c>
      <c r="W34" s="2" t="n">
        <f aca="false">IF(AND(H34&lt;&gt;"",I34&lt;&gt;""),I34-H34,"")</f>
        <v>10</v>
      </c>
      <c r="X34" s="2" t="n">
        <f aca="false">IF(AND(I34&lt;&gt;"",J34&lt;&gt;""),J34-I34,"")</f>
        <v>4</v>
      </c>
      <c r="Y34" s="2" t="str">
        <f aca="false">IF(AND(J34&lt;&gt;"",K34&lt;&gt;""),K34-J34,"")</f>
        <v/>
      </c>
      <c r="Z34" s="2" t="str">
        <f aca="false">IF(AND(K34&lt;&gt;"",M34&lt;&gt;""),M34-K34,"")</f>
        <v/>
      </c>
      <c r="AA34" s="2" t="str">
        <f aca="false">IF(AND(M34&lt;&gt;"",N34&lt;&gt;""),N34-M34,"")</f>
        <v/>
      </c>
      <c r="AB34" s="2" t="str">
        <f aca="false">IF(AND(N34&lt;&gt;"",O34&lt;&gt;""),O34-N34,"")</f>
        <v/>
      </c>
    </row>
    <row r="35" customFormat="false" ht="15" hidden="false" customHeight="false" outlineLevel="0" collapsed="false">
      <c r="A35" s="2" t="s">
        <v>124</v>
      </c>
      <c r="B35" s="2" t="s">
        <v>125</v>
      </c>
      <c r="C35" s="2" t="s">
        <v>117</v>
      </c>
      <c r="D35" s="2" t="s">
        <v>30</v>
      </c>
      <c r="E35" s="2" t="s">
        <v>57</v>
      </c>
      <c r="F35" s="3" t="n">
        <v>46117</v>
      </c>
      <c r="G35" s="3" t="n">
        <v>46118</v>
      </c>
      <c r="H35" s="3" t="n">
        <v>46123</v>
      </c>
      <c r="I35" s="3" t="n">
        <v>46127</v>
      </c>
      <c r="J35" s="3" t="n">
        <v>46132</v>
      </c>
      <c r="K35" s="3" t="n">
        <v>46139</v>
      </c>
      <c r="L35" s="2" t="s">
        <v>37</v>
      </c>
      <c r="M35" s="3" t="n">
        <v>46147</v>
      </c>
      <c r="N35" s="3" t="n">
        <v>46157</v>
      </c>
      <c r="O35" s="3" t="n">
        <v>46162</v>
      </c>
      <c r="P35" s="2" t="s">
        <v>38</v>
      </c>
      <c r="Q35" s="2" t="s">
        <v>38</v>
      </c>
      <c r="R35" s="2"/>
      <c r="S35" s="2"/>
      <c r="U35" s="2" t="n">
        <f aca="false">IF(AND(F35&lt;&gt;"",G35&lt;&gt;""),G35-F35,"")</f>
        <v>1</v>
      </c>
      <c r="V35" s="2" t="n">
        <f aca="false">IF(AND(G35&lt;&gt;"",H35&lt;&gt;""),H35-G35,"")</f>
        <v>5</v>
      </c>
      <c r="W35" s="2" t="n">
        <f aca="false">IF(AND(H35&lt;&gt;"",I35&lt;&gt;""),I35-H35,"")</f>
        <v>4</v>
      </c>
      <c r="X35" s="2" t="n">
        <f aca="false">IF(AND(I35&lt;&gt;"",J35&lt;&gt;""),J35-I35,"")</f>
        <v>5</v>
      </c>
      <c r="Y35" s="2" t="n">
        <f aca="false">IF(AND(J35&lt;&gt;"",K35&lt;&gt;""),K35-J35,"")</f>
        <v>7</v>
      </c>
      <c r="Z35" s="2" t="n">
        <f aca="false">IF(AND(K35&lt;&gt;"",M35&lt;&gt;""),M35-K35,"")</f>
        <v>8</v>
      </c>
      <c r="AA35" s="2" t="n">
        <f aca="false">IF(AND(M35&lt;&gt;"",N35&lt;&gt;""),N35-M35,"")</f>
        <v>10</v>
      </c>
      <c r="AB35" s="2" t="n">
        <f aca="false">IF(AND(N35&lt;&gt;"",O35&lt;&gt;""),O35-N35,"")</f>
        <v>5</v>
      </c>
    </row>
    <row r="36" customFormat="false" ht="15" hidden="false" customHeight="false" outlineLevel="0" collapsed="false">
      <c r="A36" s="2" t="s">
        <v>126</v>
      </c>
      <c r="B36" s="2" t="s">
        <v>127</v>
      </c>
      <c r="C36" s="2" t="s">
        <v>117</v>
      </c>
      <c r="D36" s="2" t="s">
        <v>45</v>
      </c>
      <c r="E36" s="2" t="s">
        <v>57</v>
      </c>
      <c r="F36" s="3" t="n">
        <v>46124</v>
      </c>
      <c r="G36" s="3" t="n">
        <v>46129</v>
      </c>
      <c r="H36" s="3" t="n">
        <v>46132</v>
      </c>
      <c r="I36" s="3" t="n">
        <v>46146</v>
      </c>
      <c r="J36" s="3" t="n">
        <v>46149</v>
      </c>
      <c r="K36" s="3" t="n">
        <v>46156</v>
      </c>
      <c r="L36" s="2" t="s">
        <v>48</v>
      </c>
      <c r="M36" s="3" t="n">
        <v>46159</v>
      </c>
      <c r="N36" s="2"/>
      <c r="O36" s="2"/>
      <c r="P36" s="2" t="s">
        <v>32</v>
      </c>
      <c r="Q36" s="2" t="s">
        <v>32</v>
      </c>
      <c r="R36" s="2" t="s">
        <v>49</v>
      </c>
      <c r="S36" s="2" t="s">
        <v>100</v>
      </c>
      <c r="U36" s="2" t="n">
        <f aca="false">IF(AND(F36&lt;&gt;"",G36&lt;&gt;""),G36-F36,"")</f>
        <v>5</v>
      </c>
      <c r="V36" s="2" t="n">
        <f aca="false">IF(AND(G36&lt;&gt;"",H36&lt;&gt;""),H36-G36,"")</f>
        <v>3</v>
      </c>
      <c r="W36" s="2" t="n">
        <f aca="false">IF(AND(H36&lt;&gt;"",I36&lt;&gt;""),I36-H36,"")</f>
        <v>14</v>
      </c>
      <c r="X36" s="2" t="n">
        <f aca="false">IF(AND(I36&lt;&gt;"",J36&lt;&gt;""),J36-I36,"")</f>
        <v>3</v>
      </c>
      <c r="Y36" s="2" t="n">
        <f aca="false">IF(AND(J36&lt;&gt;"",K36&lt;&gt;""),K36-J36,"")</f>
        <v>7</v>
      </c>
      <c r="Z36" s="2" t="n">
        <f aca="false">IF(AND(K36&lt;&gt;"",M36&lt;&gt;""),M36-K36,"")</f>
        <v>3</v>
      </c>
      <c r="AA36" s="2" t="str">
        <f aca="false">IF(AND(M36&lt;&gt;"",N36&lt;&gt;""),N36-M36,"")</f>
        <v/>
      </c>
      <c r="AB36" s="2" t="str">
        <f aca="false">IF(AND(N36&lt;&gt;"",O36&lt;&gt;""),O36-N36,"")</f>
        <v/>
      </c>
    </row>
    <row r="37" customFormat="false" ht="15" hidden="false" customHeight="false" outlineLevel="0" collapsed="false">
      <c r="A37" s="2" t="s">
        <v>128</v>
      </c>
      <c r="B37" s="2" t="s">
        <v>129</v>
      </c>
      <c r="C37" s="2" t="s">
        <v>117</v>
      </c>
      <c r="D37" s="2" t="s">
        <v>45</v>
      </c>
      <c r="E37" s="2" t="s">
        <v>57</v>
      </c>
      <c r="F37" s="3" t="n">
        <v>46070</v>
      </c>
      <c r="G37" s="3" t="n">
        <v>46074</v>
      </c>
      <c r="H37" s="3" t="n">
        <v>46080</v>
      </c>
      <c r="I37" s="3" t="n">
        <v>46096</v>
      </c>
      <c r="J37" s="3" t="n">
        <v>46101</v>
      </c>
      <c r="K37" s="3" t="n">
        <v>46104</v>
      </c>
      <c r="L37" s="2" t="s">
        <v>37</v>
      </c>
      <c r="M37" s="3" t="n">
        <v>46112</v>
      </c>
      <c r="N37" s="3" t="n">
        <v>46120</v>
      </c>
      <c r="O37" s="3" t="n">
        <v>46125</v>
      </c>
      <c r="P37" s="2" t="s">
        <v>38</v>
      </c>
      <c r="Q37" s="2" t="s">
        <v>38</v>
      </c>
      <c r="R37" s="2"/>
      <c r="S37" s="2"/>
      <c r="U37" s="2" t="n">
        <f aca="false">IF(AND(F37&lt;&gt;"",G37&lt;&gt;""),G37-F37,"")</f>
        <v>4</v>
      </c>
      <c r="V37" s="2" t="n">
        <f aca="false">IF(AND(G37&lt;&gt;"",H37&lt;&gt;""),H37-G37,"")</f>
        <v>6</v>
      </c>
      <c r="W37" s="2" t="n">
        <f aca="false">IF(AND(H37&lt;&gt;"",I37&lt;&gt;""),I37-H37,"")</f>
        <v>16</v>
      </c>
      <c r="X37" s="2" t="n">
        <f aca="false">IF(AND(I37&lt;&gt;"",J37&lt;&gt;""),J37-I37,"")</f>
        <v>5</v>
      </c>
      <c r="Y37" s="2" t="n">
        <f aca="false">IF(AND(J37&lt;&gt;"",K37&lt;&gt;""),K37-J37,"")</f>
        <v>3</v>
      </c>
      <c r="Z37" s="2" t="n">
        <f aca="false">IF(AND(K37&lt;&gt;"",M37&lt;&gt;""),M37-K37,"")</f>
        <v>8</v>
      </c>
      <c r="AA37" s="2" t="n">
        <f aca="false">IF(AND(M37&lt;&gt;"",N37&lt;&gt;""),N37-M37,"")</f>
        <v>8</v>
      </c>
      <c r="AB37" s="2" t="n">
        <f aca="false">IF(AND(N37&lt;&gt;"",O37&lt;&gt;""),O37-N37,"")</f>
        <v>5</v>
      </c>
    </row>
    <row r="38" customFormat="false" ht="15" hidden="false" customHeight="false" outlineLevel="0" collapsed="false">
      <c r="A38" s="2" t="s">
        <v>130</v>
      </c>
      <c r="B38" s="2" t="s">
        <v>131</v>
      </c>
      <c r="C38" s="2" t="s">
        <v>117</v>
      </c>
      <c r="D38" s="2" t="s">
        <v>45</v>
      </c>
      <c r="E38" s="2" t="s">
        <v>57</v>
      </c>
      <c r="F38" s="3" t="n">
        <v>46193</v>
      </c>
      <c r="G38" s="3" t="n">
        <v>46198</v>
      </c>
      <c r="H38" s="3" t="n">
        <v>46203</v>
      </c>
      <c r="I38" s="3" t="n">
        <v>46213</v>
      </c>
      <c r="J38" s="3" t="n">
        <v>46216</v>
      </c>
      <c r="K38" s="3" t="n">
        <v>46222</v>
      </c>
      <c r="L38" s="2" t="s">
        <v>37</v>
      </c>
      <c r="M38" s="3" t="n">
        <v>46226</v>
      </c>
      <c r="N38" s="3" t="n">
        <v>46231</v>
      </c>
      <c r="O38" s="3" t="n">
        <v>46233</v>
      </c>
      <c r="P38" s="2" t="s">
        <v>38</v>
      </c>
      <c r="Q38" s="2" t="s">
        <v>38</v>
      </c>
      <c r="R38" s="2"/>
      <c r="S38" s="2"/>
      <c r="U38" s="2" t="n">
        <f aca="false">IF(AND(F38&lt;&gt;"",G38&lt;&gt;""),G38-F38,"")</f>
        <v>5</v>
      </c>
      <c r="V38" s="2" t="n">
        <f aca="false">IF(AND(G38&lt;&gt;"",H38&lt;&gt;""),H38-G38,"")</f>
        <v>5</v>
      </c>
      <c r="W38" s="2" t="n">
        <f aca="false">IF(AND(H38&lt;&gt;"",I38&lt;&gt;""),I38-H38,"")</f>
        <v>10</v>
      </c>
      <c r="X38" s="2" t="n">
        <f aca="false">IF(AND(I38&lt;&gt;"",J38&lt;&gt;""),J38-I38,"")</f>
        <v>3</v>
      </c>
      <c r="Y38" s="2" t="n">
        <f aca="false">IF(AND(J38&lt;&gt;"",K38&lt;&gt;""),K38-J38,"")</f>
        <v>6</v>
      </c>
      <c r="Z38" s="2" t="n">
        <f aca="false">IF(AND(K38&lt;&gt;"",M38&lt;&gt;""),M38-K38,"")</f>
        <v>4</v>
      </c>
      <c r="AA38" s="2" t="n">
        <f aca="false">IF(AND(M38&lt;&gt;"",N38&lt;&gt;""),N38-M38,"")</f>
        <v>5</v>
      </c>
      <c r="AB38" s="2" t="n">
        <f aca="false">IF(AND(N38&lt;&gt;"",O38&lt;&gt;""),O38-N38,"")</f>
        <v>2</v>
      </c>
    </row>
    <row r="39" customFormat="false" ht="15" hidden="false" customHeight="false" outlineLevel="0" collapsed="false">
      <c r="A39" s="2" t="s">
        <v>132</v>
      </c>
      <c r="B39" s="2" t="s">
        <v>133</v>
      </c>
      <c r="C39" s="2" t="s">
        <v>117</v>
      </c>
      <c r="D39" s="2" t="s">
        <v>30</v>
      </c>
      <c r="E39" s="2" t="s">
        <v>57</v>
      </c>
      <c r="F39" s="3" t="n">
        <v>46163</v>
      </c>
      <c r="G39" s="3" t="n">
        <v>46165</v>
      </c>
      <c r="H39" s="3" t="n">
        <v>46168</v>
      </c>
      <c r="I39" s="2"/>
      <c r="J39" s="2"/>
      <c r="K39" s="2"/>
      <c r="L39" s="2"/>
      <c r="M39" s="2"/>
      <c r="N39" s="2"/>
      <c r="O39" s="2"/>
      <c r="P39" s="2" t="s">
        <v>32</v>
      </c>
      <c r="Q39" s="2" t="s">
        <v>32</v>
      </c>
      <c r="R39" s="2" t="s">
        <v>84</v>
      </c>
      <c r="S39" s="2" t="s">
        <v>85</v>
      </c>
      <c r="U39" s="2" t="n">
        <f aca="false">IF(AND(F39&lt;&gt;"",G39&lt;&gt;""),G39-F39,"")</f>
        <v>2</v>
      </c>
      <c r="V39" s="2" t="n">
        <f aca="false">IF(AND(G39&lt;&gt;"",H39&lt;&gt;""),H39-G39,"")</f>
        <v>3</v>
      </c>
      <c r="W39" s="2" t="str">
        <f aca="false">IF(AND(H39&lt;&gt;"",I39&lt;&gt;""),I39-H39,"")</f>
        <v/>
      </c>
      <c r="X39" s="2" t="str">
        <f aca="false">IF(AND(I39&lt;&gt;"",J39&lt;&gt;""),J39-I39,"")</f>
        <v/>
      </c>
      <c r="Y39" s="2" t="str">
        <f aca="false">IF(AND(J39&lt;&gt;"",K39&lt;&gt;""),K39-J39,"")</f>
        <v/>
      </c>
      <c r="Z39" s="2" t="str">
        <f aca="false">IF(AND(K39&lt;&gt;"",M39&lt;&gt;""),M39-K39,"")</f>
        <v/>
      </c>
      <c r="AA39" s="2" t="str">
        <f aca="false">IF(AND(M39&lt;&gt;"",N39&lt;&gt;""),N39-M39,"")</f>
        <v/>
      </c>
      <c r="AB39" s="2" t="str">
        <f aca="false">IF(AND(N39&lt;&gt;"",O39&lt;&gt;""),O39-N39,"")</f>
        <v/>
      </c>
    </row>
    <row r="40" customFormat="false" ht="15" hidden="false" customHeight="false" outlineLevel="0" collapsed="false">
      <c r="A40" s="2" t="s">
        <v>134</v>
      </c>
      <c r="B40" s="2" t="s">
        <v>52</v>
      </c>
      <c r="C40" s="2" t="s">
        <v>117</v>
      </c>
      <c r="D40" s="2" t="s">
        <v>60</v>
      </c>
      <c r="E40" s="2" t="s">
        <v>57</v>
      </c>
      <c r="F40" s="3" t="n">
        <v>46140</v>
      </c>
      <c r="G40" s="3" t="n">
        <v>46144</v>
      </c>
      <c r="H40" s="3" t="n">
        <v>46149</v>
      </c>
      <c r="I40" s="3" t="n">
        <v>46159</v>
      </c>
      <c r="J40" s="3" t="n">
        <v>46162</v>
      </c>
      <c r="K40" s="2"/>
      <c r="L40" s="2"/>
      <c r="M40" s="2"/>
      <c r="N40" s="2"/>
      <c r="O40" s="2"/>
      <c r="P40" s="2" t="s">
        <v>32</v>
      </c>
      <c r="Q40" s="2" t="s">
        <v>32</v>
      </c>
      <c r="R40" s="2" t="s">
        <v>41</v>
      </c>
      <c r="S40" s="2" t="s">
        <v>61</v>
      </c>
      <c r="U40" s="2" t="n">
        <f aca="false">IF(AND(F40&lt;&gt;"",G40&lt;&gt;""),G40-F40,"")</f>
        <v>4</v>
      </c>
      <c r="V40" s="2" t="n">
        <f aca="false">IF(AND(G40&lt;&gt;"",H40&lt;&gt;""),H40-G40,"")</f>
        <v>5</v>
      </c>
      <c r="W40" s="2" t="n">
        <f aca="false">IF(AND(H40&lt;&gt;"",I40&lt;&gt;""),I40-H40,"")</f>
        <v>10</v>
      </c>
      <c r="X40" s="2" t="n">
        <f aca="false">IF(AND(I40&lt;&gt;"",J40&lt;&gt;""),J40-I40,"")</f>
        <v>3</v>
      </c>
      <c r="Y40" s="2" t="str">
        <f aca="false">IF(AND(J40&lt;&gt;"",K40&lt;&gt;""),K40-J40,"")</f>
        <v/>
      </c>
      <c r="Z40" s="2" t="str">
        <f aca="false">IF(AND(K40&lt;&gt;"",M40&lt;&gt;""),M40-K40,"")</f>
        <v/>
      </c>
      <c r="AA40" s="2" t="str">
        <f aca="false">IF(AND(M40&lt;&gt;"",N40&lt;&gt;""),N40-M40,"")</f>
        <v/>
      </c>
      <c r="AB40" s="2" t="str">
        <f aca="false">IF(AND(N40&lt;&gt;"",O40&lt;&gt;""),O40-N40,"")</f>
        <v/>
      </c>
    </row>
    <row r="41" customFormat="false" ht="15" hidden="false" customHeight="false" outlineLevel="0" collapsed="false">
      <c r="A41" s="2" t="s">
        <v>135</v>
      </c>
      <c r="B41" s="2" t="s">
        <v>136</v>
      </c>
      <c r="C41" s="2" t="s">
        <v>137</v>
      </c>
      <c r="D41" s="2" t="s">
        <v>67</v>
      </c>
      <c r="E41" s="2" t="s">
        <v>31</v>
      </c>
      <c r="F41" s="3" t="n">
        <v>46093</v>
      </c>
      <c r="G41" s="3" t="n">
        <v>46095</v>
      </c>
      <c r="H41" s="2"/>
      <c r="I41" s="2"/>
      <c r="J41" s="2"/>
      <c r="K41" s="2"/>
      <c r="L41" s="2"/>
      <c r="M41" s="2"/>
      <c r="N41" s="2"/>
      <c r="O41" s="2"/>
      <c r="P41" s="2" t="s">
        <v>32</v>
      </c>
      <c r="Q41" s="2" t="s">
        <v>32</v>
      </c>
      <c r="R41" s="2" t="s">
        <v>33</v>
      </c>
      <c r="S41" s="2" t="s">
        <v>68</v>
      </c>
      <c r="U41" s="2" t="n">
        <f aca="false">IF(AND(F41&lt;&gt;"",G41&lt;&gt;""),G41-F41,"")</f>
        <v>2</v>
      </c>
      <c r="V41" s="2" t="str">
        <f aca="false">IF(AND(G41&lt;&gt;"",H41&lt;&gt;""),H41-G41,"")</f>
        <v/>
      </c>
      <c r="W41" s="2" t="str">
        <f aca="false">IF(AND(H41&lt;&gt;"",I41&lt;&gt;""),I41-H41,"")</f>
        <v/>
      </c>
      <c r="X41" s="2" t="str">
        <f aca="false">IF(AND(I41&lt;&gt;"",J41&lt;&gt;""),J41-I41,"")</f>
        <v/>
      </c>
      <c r="Y41" s="2" t="str">
        <f aca="false">IF(AND(J41&lt;&gt;"",K41&lt;&gt;""),K41-J41,"")</f>
        <v/>
      </c>
      <c r="Z41" s="2" t="str">
        <f aca="false">IF(AND(K41&lt;&gt;"",M41&lt;&gt;""),M41-K41,"")</f>
        <v/>
      </c>
      <c r="AA41" s="2" t="str">
        <f aca="false">IF(AND(M41&lt;&gt;"",N41&lt;&gt;""),N41-M41,"")</f>
        <v/>
      </c>
      <c r="AB41" s="2" t="str">
        <f aca="false">IF(AND(N41&lt;&gt;"",O41&lt;&gt;""),O41-N41,"")</f>
        <v/>
      </c>
    </row>
    <row r="42" customFormat="false" ht="15" hidden="false" customHeight="false" outlineLevel="0" collapsed="false">
      <c r="A42" s="2" t="s">
        <v>138</v>
      </c>
      <c r="B42" s="2" t="s">
        <v>139</v>
      </c>
      <c r="C42" s="2" t="s">
        <v>137</v>
      </c>
      <c r="D42" s="2" t="s">
        <v>60</v>
      </c>
      <c r="E42" s="2" t="s">
        <v>31</v>
      </c>
      <c r="F42" s="3" t="n">
        <v>46119</v>
      </c>
      <c r="G42" s="3" t="n">
        <v>46122</v>
      </c>
      <c r="H42" s="3" t="n">
        <v>46128</v>
      </c>
      <c r="I42" s="3" t="n">
        <v>46131</v>
      </c>
      <c r="J42" s="3" t="n">
        <v>46132</v>
      </c>
      <c r="K42" s="3" t="n">
        <v>46137</v>
      </c>
      <c r="L42" s="2" t="s">
        <v>37</v>
      </c>
      <c r="M42" s="3" t="n">
        <v>46145</v>
      </c>
      <c r="N42" s="3" t="n">
        <v>46151</v>
      </c>
      <c r="O42" s="3" t="n">
        <v>46154</v>
      </c>
      <c r="P42" s="2" t="s">
        <v>38</v>
      </c>
      <c r="Q42" s="2" t="s">
        <v>38</v>
      </c>
      <c r="R42" s="2"/>
      <c r="S42" s="2"/>
      <c r="U42" s="2" t="n">
        <f aca="false">IF(AND(F42&lt;&gt;"",G42&lt;&gt;""),G42-F42,"")</f>
        <v>3</v>
      </c>
      <c r="V42" s="2" t="n">
        <f aca="false">IF(AND(G42&lt;&gt;"",H42&lt;&gt;""),H42-G42,"")</f>
        <v>6</v>
      </c>
      <c r="W42" s="2" t="n">
        <f aca="false">IF(AND(H42&lt;&gt;"",I42&lt;&gt;""),I42-H42,"")</f>
        <v>3</v>
      </c>
      <c r="X42" s="2" t="n">
        <f aca="false">IF(AND(I42&lt;&gt;"",J42&lt;&gt;""),J42-I42,"")</f>
        <v>1</v>
      </c>
      <c r="Y42" s="2" t="n">
        <f aca="false">IF(AND(J42&lt;&gt;"",K42&lt;&gt;""),K42-J42,"")</f>
        <v>5</v>
      </c>
      <c r="Z42" s="2" t="n">
        <f aca="false">IF(AND(K42&lt;&gt;"",M42&lt;&gt;""),M42-K42,"")</f>
        <v>8</v>
      </c>
      <c r="AA42" s="2" t="n">
        <f aca="false">IF(AND(M42&lt;&gt;"",N42&lt;&gt;""),N42-M42,"")</f>
        <v>6</v>
      </c>
      <c r="AB42" s="2" t="n">
        <f aca="false">IF(AND(N42&lt;&gt;"",O42&lt;&gt;""),O42-N42,"")</f>
        <v>3</v>
      </c>
    </row>
    <row r="43" customFormat="false" ht="15" hidden="false" customHeight="false" outlineLevel="0" collapsed="false">
      <c r="A43" s="2" t="s">
        <v>140</v>
      </c>
      <c r="B43" s="2" t="s">
        <v>141</v>
      </c>
      <c r="C43" s="2" t="s">
        <v>137</v>
      </c>
      <c r="D43" s="2" t="s">
        <v>67</v>
      </c>
      <c r="E43" s="2" t="s">
        <v>31</v>
      </c>
      <c r="F43" s="3" t="n">
        <v>46084</v>
      </c>
      <c r="G43" s="3" t="n">
        <v>46089</v>
      </c>
      <c r="H43" s="3" t="n">
        <v>46093</v>
      </c>
      <c r="I43" s="3" t="n">
        <v>46095</v>
      </c>
      <c r="J43" s="3" t="n">
        <v>46096</v>
      </c>
      <c r="K43" s="3" t="n">
        <v>46102</v>
      </c>
      <c r="L43" s="2" t="s">
        <v>37</v>
      </c>
      <c r="M43" s="3" t="n">
        <v>46105</v>
      </c>
      <c r="N43" s="3" t="n">
        <v>46113</v>
      </c>
      <c r="O43" s="3" t="n">
        <v>46118</v>
      </c>
      <c r="P43" s="2" t="s">
        <v>38</v>
      </c>
      <c r="Q43" s="2" t="s">
        <v>38</v>
      </c>
      <c r="R43" s="2"/>
      <c r="S43" s="2"/>
      <c r="U43" s="2" t="n">
        <f aca="false">IF(AND(F43&lt;&gt;"",G43&lt;&gt;""),G43-F43,"")</f>
        <v>5</v>
      </c>
      <c r="V43" s="2" t="n">
        <f aca="false">IF(AND(G43&lt;&gt;"",H43&lt;&gt;""),H43-G43,"")</f>
        <v>4</v>
      </c>
      <c r="W43" s="2" t="n">
        <f aca="false">IF(AND(H43&lt;&gt;"",I43&lt;&gt;""),I43-H43,"")</f>
        <v>2</v>
      </c>
      <c r="X43" s="2" t="n">
        <f aca="false">IF(AND(I43&lt;&gt;"",J43&lt;&gt;""),J43-I43,"")</f>
        <v>1</v>
      </c>
      <c r="Y43" s="2" t="n">
        <f aca="false">IF(AND(J43&lt;&gt;"",K43&lt;&gt;""),K43-J43,"")</f>
        <v>6</v>
      </c>
      <c r="Z43" s="2" t="n">
        <f aca="false">IF(AND(K43&lt;&gt;"",M43&lt;&gt;""),M43-K43,"")</f>
        <v>3</v>
      </c>
      <c r="AA43" s="2" t="n">
        <f aca="false">IF(AND(M43&lt;&gt;"",N43&lt;&gt;""),N43-M43,"")</f>
        <v>8</v>
      </c>
      <c r="AB43" s="2" t="n">
        <f aca="false">IF(AND(N43&lt;&gt;"",O43&lt;&gt;""),O43-N43,"")</f>
        <v>5</v>
      </c>
    </row>
    <row r="44" customFormat="false" ht="15" hidden="false" customHeight="false" outlineLevel="0" collapsed="false">
      <c r="A44" s="2" t="s">
        <v>142</v>
      </c>
      <c r="B44" s="2" t="s">
        <v>143</v>
      </c>
      <c r="C44" s="2" t="s">
        <v>137</v>
      </c>
      <c r="D44" s="2" t="s">
        <v>30</v>
      </c>
      <c r="E44" s="2" t="s">
        <v>31</v>
      </c>
      <c r="F44" s="3" t="n">
        <v>46187</v>
      </c>
      <c r="G44" s="3" t="n">
        <v>46190</v>
      </c>
      <c r="H44" s="3" t="n">
        <v>46196</v>
      </c>
      <c r="I44" s="3" t="n">
        <v>46200</v>
      </c>
      <c r="J44" s="3" t="n">
        <v>46202</v>
      </c>
      <c r="K44" s="3" t="n">
        <v>46205</v>
      </c>
      <c r="L44" s="2" t="s">
        <v>37</v>
      </c>
      <c r="M44" s="3" t="n">
        <v>46211</v>
      </c>
      <c r="N44" s="3" t="n">
        <v>46217</v>
      </c>
      <c r="O44" s="3" t="n">
        <v>46222</v>
      </c>
      <c r="P44" s="2" t="s">
        <v>38</v>
      </c>
      <c r="Q44" s="2" t="s">
        <v>38</v>
      </c>
      <c r="R44" s="2"/>
      <c r="S44" s="2"/>
      <c r="U44" s="2" t="n">
        <f aca="false">IF(AND(F44&lt;&gt;"",G44&lt;&gt;""),G44-F44,"")</f>
        <v>3</v>
      </c>
      <c r="V44" s="2" t="n">
        <f aca="false">IF(AND(G44&lt;&gt;"",H44&lt;&gt;""),H44-G44,"")</f>
        <v>6</v>
      </c>
      <c r="W44" s="2" t="n">
        <f aca="false">IF(AND(H44&lt;&gt;"",I44&lt;&gt;""),I44-H44,"")</f>
        <v>4</v>
      </c>
      <c r="X44" s="2" t="n">
        <f aca="false">IF(AND(I44&lt;&gt;"",J44&lt;&gt;""),J44-I44,"")</f>
        <v>2</v>
      </c>
      <c r="Y44" s="2" t="n">
        <f aca="false">IF(AND(J44&lt;&gt;"",K44&lt;&gt;""),K44-J44,"")</f>
        <v>3</v>
      </c>
      <c r="Z44" s="2" t="n">
        <f aca="false">IF(AND(K44&lt;&gt;"",M44&lt;&gt;""),M44-K44,"")</f>
        <v>6</v>
      </c>
      <c r="AA44" s="2" t="n">
        <f aca="false">IF(AND(M44&lt;&gt;"",N44&lt;&gt;""),N44-M44,"")</f>
        <v>6</v>
      </c>
      <c r="AB44" s="2" t="n">
        <f aca="false">IF(AND(N44&lt;&gt;"",O44&lt;&gt;""),O44-N44,"")</f>
        <v>5</v>
      </c>
    </row>
    <row r="45" customFormat="false" ht="15" hidden="false" customHeight="false" outlineLevel="0" collapsed="false">
      <c r="A45" s="2" t="s">
        <v>144</v>
      </c>
      <c r="B45" s="2" t="s">
        <v>145</v>
      </c>
      <c r="C45" s="2" t="s">
        <v>137</v>
      </c>
      <c r="D45" s="2" t="s">
        <v>60</v>
      </c>
      <c r="E45" s="2" t="s">
        <v>31</v>
      </c>
      <c r="F45" s="3" t="n">
        <v>46137</v>
      </c>
      <c r="G45" s="3" t="n">
        <v>46139</v>
      </c>
      <c r="H45" s="3" t="n">
        <v>46143</v>
      </c>
      <c r="I45" s="3" t="n">
        <v>46162</v>
      </c>
      <c r="J45" s="3" t="n">
        <v>46167</v>
      </c>
      <c r="K45" s="2"/>
      <c r="L45" s="2"/>
      <c r="M45" s="2"/>
      <c r="N45" s="2"/>
      <c r="O45" s="2"/>
      <c r="P45" s="2" t="s">
        <v>32</v>
      </c>
      <c r="Q45" s="2" t="s">
        <v>32</v>
      </c>
      <c r="R45" s="2" t="s">
        <v>41</v>
      </c>
      <c r="S45" s="2" t="s">
        <v>61</v>
      </c>
      <c r="U45" s="2" t="n">
        <f aca="false">IF(AND(F45&lt;&gt;"",G45&lt;&gt;""),G45-F45,"")</f>
        <v>2</v>
      </c>
      <c r="V45" s="2" t="n">
        <f aca="false">IF(AND(G45&lt;&gt;"",H45&lt;&gt;""),H45-G45,"")</f>
        <v>4</v>
      </c>
      <c r="W45" s="2" t="n">
        <f aca="false">IF(AND(H45&lt;&gt;"",I45&lt;&gt;""),I45-H45,"")</f>
        <v>19</v>
      </c>
      <c r="X45" s="2" t="n">
        <f aca="false">IF(AND(I45&lt;&gt;"",J45&lt;&gt;""),J45-I45,"")</f>
        <v>5</v>
      </c>
      <c r="Y45" s="2" t="str">
        <f aca="false">IF(AND(J45&lt;&gt;"",K45&lt;&gt;""),K45-J45,"")</f>
        <v/>
      </c>
      <c r="Z45" s="2" t="str">
        <f aca="false">IF(AND(K45&lt;&gt;"",M45&lt;&gt;""),M45-K45,"")</f>
        <v/>
      </c>
      <c r="AA45" s="2" t="str">
        <f aca="false">IF(AND(M45&lt;&gt;"",N45&lt;&gt;""),N45-M45,"")</f>
        <v/>
      </c>
      <c r="AB45" s="2" t="str">
        <f aca="false">IF(AND(N45&lt;&gt;"",O45&lt;&gt;""),O45-N45,"")</f>
        <v/>
      </c>
    </row>
    <row r="46" customFormat="false" ht="15" hidden="false" customHeight="false" outlineLevel="0" collapsed="false">
      <c r="A46" s="2" t="s">
        <v>146</v>
      </c>
      <c r="B46" s="2" t="s">
        <v>81</v>
      </c>
      <c r="C46" s="2" t="s">
        <v>137</v>
      </c>
      <c r="D46" s="2" t="s">
        <v>45</v>
      </c>
      <c r="E46" s="2" t="s">
        <v>31</v>
      </c>
      <c r="F46" s="3" t="n">
        <v>46179</v>
      </c>
      <c r="G46" s="3" t="n">
        <v>46184</v>
      </c>
      <c r="H46" s="3" t="n">
        <v>46189</v>
      </c>
      <c r="I46" s="3" t="n">
        <v>46191</v>
      </c>
      <c r="J46" s="3" t="n">
        <v>46194</v>
      </c>
      <c r="K46" s="2"/>
      <c r="L46" s="2"/>
      <c r="M46" s="2"/>
      <c r="N46" s="2"/>
      <c r="O46" s="2"/>
      <c r="P46" s="2" t="s">
        <v>32</v>
      </c>
      <c r="Q46" s="2" t="s">
        <v>32</v>
      </c>
      <c r="R46" s="2" t="s">
        <v>41</v>
      </c>
      <c r="S46" s="2" t="s">
        <v>73</v>
      </c>
      <c r="U46" s="2" t="n">
        <f aca="false">IF(AND(F46&lt;&gt;"",G46&lt;&gt;""),G46-F46,"")</f>
        <v>5</v>
      </c>
      <c r="V46" s="2" t="n">
        <f aca="false">IF(AND(G46&lt;&gt;"",H46&lt;&gt;""),H46-G46,"")</f>
        <v>5</v>
      </c>
      <c r="W46" s="2" t="n">
        <f aca="false">IF(AND(H46&lt;&gt;"",I46&lt;&gt;""),I46-H46,"")</f>
        <v>2</v>
      </c>
      <c r="X46" s="2" t="n">
        <f aca="false">IF(AND(I46&lt;&gt;"",J46&lt;&gt;""),J46-I46,"")</f>
        <v>3</v>
      </c>
      <c r="Y46" s="2" t="str">
        <f aca="false">IF(AND(J46&lt;&gt;"",K46&lt;&gt;""),K46-J46,"")</f>
        <v/>
      </c>
      <c r="Z46" s="2" t="str">
        <f aca="false">IF(AND(K46&lt;&gt;"",M46&lt;&gt;""),M46-K46,"")</f>
        <v/>
      </c>
      <c r="AA46" s="2" t="str">
        <f aca="false">IF(AND(M46&lt;&gt;"",N46&lt;&gt;""),N46-M46,"")</f>
        <v/>
      </c>
      <c r="AB46" s="2" t="str">
        <f aca="false">IF(AND(N46&lt;&gt;"",O46&lt;&gt;""),O46-N46,"")</f>
        <v/>
      </c>
    </row>
    <row r="47" customFormat="false" ht="15" hidden="false" customHeight="false" outlineLevel="0" collapsed="false">
      <c r="A47" s="2" t="s">
        <v>147</v>
      </c>
      <c r="B47" s="2" t="s">
        <v>148</v>
      </c>
      <c r="C47" s="2" t="s">
        <v>149</v>
      </c>
      <c r="D47" s="2" t="s">
        <v>45</v>
      </c>
      <c r="E47" s="2" t="s">
        <v>57</v>
      </c>
      <c r="F47" s="3" t="n">
        <v>46142</v>
      </c>
      <c r="G47" s="3" t="n">
        <v>46146</v>
      </c>
      <c r="H47" s="3" t="n">
        <v>46152</v>
      </c>
      <c r="I47" s="3" t="n">
        <v>46156</v>
      </c>
      <c r="J47" s="3" t="n">
        <v>46159</v>
      </c>
      <c r="K47" s="2"/>
      <c r="L47" s="2"/>
      <c r="M47" s="2"/>
      <c r="N47" s="2"/>
      <c r="O47" s="2"/>
      <c r="P47" s="2" t="s">
        <v>32</v>
      </c>
      <c r="Q47" s="2" t="s">
        <v>32</v>
      </c>
      <c r="R47" s="2" t="s">
        <v>41</v>
      </c>
      <c r="S47" s="2" t="s">
        <v>73</v>
      </c>
      <c r="U47" s="2" t="n">
        <f aca="false">IF(AND(F47&lt;&gt;"",G47&lt;&gt;""),G47-F47,"")</f>
        <v>4</v>
      </c>
      <c r="V47" s="2" t="n">
        <f aca="false">IF(AND(G47&lt;&gt;"",H47&lt;&gt;""),H47-G47,"")</f>
        <v>6</v>
      </c>
      <c r="W47" s="2" t="n">
        <f aca="false">IF(AND(H47&lt;&gt;"",I47&lt;&gt;""),I47-H47,"")</f>
        <v>4</v>
      </c>
      <c r="X47" s="2" t="n">
        <f aca="false">IF(AND(I47&lt;&gt;"",J47&lt;&gt;""),J47-I47,"")</f>
        <v>3</v>
      </c>
      <c r="Y47" s="2" t="str">
        <f aca="false">IF(AND(J47&lt;&gt;"",K47&lt;&gt;""),K47-J47,"")</f>
        <v/>
      </c>
      <c r="Z47" s="2" t="str">
        <f aca="false">IF(AND(K47&lt;&gt;"",M47&lt;&gt;""),M47-K47,"")</f>
        <v/>
      </c>
      <c r="AA47" s="2" t="str">
        <f aca="false">IF(AND(M47&lt;&gt;"",N47&lt;&gt;""),N47-M47,"")</f>
        <v/>
      </c>
      <c r="AB47" s="2" t="str">
        <f aca="false">IF(AND(N47&lt;&gt;"",O47&lt;&gt;""),O47-N47,"")</f>
        <v/>
      </c>
    </row>
    <row r="48" customFormat="false" ht="15" hidden="false" customHeight="false" outlineLevel="0" collapsed="false">
      <c r="A48" s="2" t="s">
        <v>150</v>
      </c>
      <c r="B48" s="2" t="s">
        <v>151</v>
      </c>
      <c r="C48" s="2" t="s">
        <v>149</v>
      </c>
      <c r="D48" s="2" t="s">
        <v>30</v>
      </c>
      <c r="E48" s="2" t="s">
        <v>57</v>
      </c>
      <c r="F48" s="3" t="n">
        <v>46191</v>
      </c>
      <c r="G48" s="3" t="n">
        <v>46193</v>
      </c>
      <c r="H48" s="3" t="n">
        <v>46198</v>
      </c>
      <c r="I48" s="3" t="n">
        <v>46202</v>
      </c>
      <c r="J48" s="3" t="n">
        <v>46204</v>
      </c>
      <c r="K48" s="2"/>
      <c r="L48" s="2"/>
      <c r="M48" s="2"/>
      <c r="N48" s="2"/>
      <c r="O48" s="2"/>
      <c r="P48" s="2" t="s">
        <v>32</v>
      </c>
      <c r="Q48" s="2" t="s">
        <v>32</v>
      </c>
      <c r="R48" s="2" t="s">
        <v>41</v>
      </c>
      <c r="S48" s="2" t="s">
        <v>42</v>
      </c>
      <c r="U48" s="2" t="n">
        <f aca="false">IF(AND(F48&lt;&gt;"",G48&lt;&gt;""),G48-F48,"")</f>
        <v>2</v>
      </c>
      <c r="V48" s="2" t="n">
        <f aca="false">IF(AND(G48&lt;&gt;"",H48&lt;&gt;""),H48-G48,"")</f>
        <v>5</v>
      </c>
      <c r="W48" s="2" t="n">
        <f aca="false">IF(AND(H48&lt;&gt;"",I48&lt;&gt;""),I48-H48,"")</f>
        <v>4</v>
      </c>
      <c r="X48" s="2" t="n">
        <f aca="false">IF(AND(I48&lt;&gt;"",J48&lt;&gt;""),J48-I48,"")</f>
        <v>2</v>
      </c>
      <c r="Y48" s="2" t="str">
        <f aca="false">IF(AND(J48&lt;&gt;"",K48&lt;&gt;""),K48-J48,"")</f>
        <v/>
      </c>
      <c r="Z48" s="2" t="str">
        <f aca="false">IF(AND(K48&lt;&gt;"",M48&lt;&gt;""),M48-K48,"")</f>
        <v/>
      </c>
      <c r="AA48" s="2" t="str">
        <f aca="false">IF(AND(M48&lt;&gt;"",N48&lt;&gt;""),N48-M48,"")</f>
        <v/>
      </c>
      <c r="AB48" s="2" t="str">
        <f aca="false">IF(AND(N48&lt;&gt;"",O48&lt;&gt;""),O48-N48,"")</f>
        <v/>
      </c>
    </row>
    <row r="49" customFormat="false" ht="15" hidden="false" customHeight="false" outlineLevel="0" collapsed="false">
      <c r="A49" s="2" t="s">
        <v>152</v>
      </c>
      <c r="B49" s="2" t="s">
        <v>153</v>
      </c>
      <c r="C49" s="2" t="s">
        <v>149</v>
      </c>
      <c r="D49" s="2" t="s">
        <v>30</v>
      </c>
      <c r="E49" s="2" t="s">
        <v>57</v>
      </c>
      <c r="F49" s="3" t="n">
        <v>46190</v>
      </c>
      <c r="G49" s="3" t="n">
        <v>46192</v>
      </c>
      <c r="H49" s="3" t="n">
        <v>46194</v>
      </c>
      <c r="I49" s="3" t="n">
        <v>46197</v>
      </c>
      <c r="J49" s="3" t="n">
        <v>46198</v>
      </c>
      <c r="K49" s="3" t="n">
        <v>46205</v>
      </c>
      <c r="L49" s="2" t="s">
        <v>37</v>
      </c>
      <c r="M49" s="3" t="n">
        <v>46211</v>
      </c>
      <c r="N49" s="3" t="n">
        <v>46221</v>
      </c>
      <c r="O49" s="3" t="n">
        <v>46223</v>
      </c>
      <c r="P49" s="2" t="s">
        <v>38</v>
      </c>
      <c r="Q49" s="2" t="s">
        <v>38</v>
      </c>
      <c r="R49" s="2"/>
      <c r="S49" s="2"/>
      <c r="U49" s="2" t="n">
        <f aca="false">IF(AND(F49&lt;&gt;"",G49&lt;&gt;""),G49-F49,"")</f>
        <v>2</v>
      </c>
      <c r="V49" s="2" t="n">
        <f aca="false">IF(AND(G49&lt;&gt;"",H49&lt;&gt;""),H49-G49,"")</f>
        <v>2</v>
      </c>
      <c r="W49" s="2" t="n">
        <f aca="false">IF(AND(H49&lt;&gt;"",I49&lt;&gt;""),I49-H49,"")</f>
        <v>3</v>
      </c>
      <c r="X49" s="2" t="n">
        <f aca="false">IF(AND(I49&lt;&gt;"",J49&lt;&gt;""),J49-I49,"")</f>
        <v>1</v>
      </c>
      <c r="Y49" s="2" t="n">
        <f aca="false">IF(AND(J49&lt;&gt;"",K49&lt;&gt;""),K49-J49,"")</f>
        <v>7</v>
      </c>
      <c r="Z49" s="2" t="n">
        <f aca="false">IF(AND(K49&lt;&gt;"",M49&lt;&gt;""),M49-K49,"")</f>
        <v>6</v>
      </c>
      <c r="AA49" s="2" t="n">
        <f aca="false">IF(AND(M49&lt;&gt;"",N49&lt;&gt;""),N49-M49,"")</f>
        <v>10</v>
      </c>
      <c r="AB49" s="2" t="n">
        <f aca="false">IF(AND(N49&lt;&gt;"",O49&lt;&gt;""),O49-N49,"")</f>
        <v>2</v>
      </c>
    </row>
    <row r="50" customFormat="false" ht="15" hidden="false" customHeight="false" outlineLevel="0" collapsed="false">
      <c r="A50" s="2" t="s">
        <v>154</v>
      </c>
      <c r="B50" s="2" t="s">
        <v>155</v>
      </c>
      <c r="C50" s="2" t="s">
        <v>149</v>
      </c>
      <c r="D50" s="2" t="s">
        <v>30</v>
      </c>
      <c r="E50" s="2" t="s">
        <v>57</v>
      </c>
      <c r="F50" s="3" t="n">
        <v>46070</v>
      </c>
      <c r="G50" s="3" t="n">
        <v>46074</v>
      </c>
      <c r="H50" s="3" t="n">
        <v>46080</v>
      </c>
      <c r="I50" s="3" t="n">
        <v>46092</v>
      </c>
      <c r="J50" s="3" t="n">
        <v>46093</v>
      </c>
      <c r="K50" s="3" t="n">
        <v>46096</v>
      </c>
      <c r="L50" s="2" t="s">
        <v>37</v>
      </c>
      <c r="M50" s="3" t="n">
        <v>46106</v>
      </c>
      <c r="N50" s="3" t="n">
        <v>46112</v>
      </c>
      <c r="O50" s="3" t="n">
        <v>46117</v>
      </c>
      <c r="P50" s="2" t="s">
        <v>38</v>
      </c>
      <c r="Q50" s="2" t="s">
        <v>38</v>
      </c>
      <c r="R50" s="2"/>
      <c r="S50" s="2"/>
      <c r="U50" s="2" t="n">
        <f aca="false">IF(AND(F50&lt;&gt;"",G50&lt;&gt;""),G50-F50,"")</f>
        <v>4</v>
      </c>
      <c r="V50" s="2" t="n">
        <f aca="false">IF(AND(G50&lt;&gt;"",H50&lt;&gt;""),H50-G50,"")</f>
        <v>6</v>
      </c>
      <c r="W50" s="2" t="n">
        <f aca="false">IF(AND(H50&lt;&gt;"",I50&lt;&gt;""),I50-H50,"")</f>
        <v>12</v>
      </c>
      <c r="X50" s="2" t="n">
        <f aca="false">IF(AND(I50&lt;&gt;"",J50&lt;&gt;""),J50-I50,"")</f>
        <v>1</v>
      </c>
      <c r="Y50" s="2" t="n">
        <f aca="false">IF(AND(J50&lt;&gt;"",K50&lt;&gt;""),K50-J50,"")</f>
        <v>3</v>
      </c>
      <c r="Z50" s="2" t="n">
        <f aca="false">IF(AND(K50&lt;&gt;"",M50&lt;&gt;""),M50-K50,"")</f>
        <v>10</v>
      </c>
      <c r="AA50" s="2" t="n">
        <f aca="false">IF(AND(M50&lt;&gt;"",N50&lt;&gt;""),N50-M50,"")</f>
        <v>6</v>
      </c>
      <c r="AB50" s="2" t="n">
        <f aca="false">IF(AND(N50&lt;&gt;"",O50&lt;&gt;""),O50-N50,"")</f>
        <v>5</v>
      </c>
    </row>
    <row r="51" customFormat="false" ht="15" hidden="false" customHeight="false" outlineLevel="0" collapsed="false">
      <c r="A51" s="2" t="s">
        <v>156</v>
      </c>
      <c r="B51" s="2" t="s">
        <v>157</v>
      </c>
      <c r="C51" s="2" t="s">
        <v>149</v>
      </c>
      <c r="D51" s="2" t="s">
        <v>30</v>
      </c>
      <c r="E51" s="2" t="s">
        <v>57</v>
      </c>
      <c r="F51" s="3" t="n">
        <v>46204</v>
      </c>
      <c r="G51" s="3" t="n">
        <v>46208</v>
      </c>
      <c r="H51" s="3" t="n">
        <v>46214</v>
      </c>
      <c r="I51" s="2"/>
      <c r="J51" s="2"/>
      <c r="K51" s="2"/>
      <c r="L51" s="2"/>
      <c r="M51" s="2"/>
      <c r="N51" s="2"/>
      <c r="O51" s="2"/>
      <c r="P51" s="2" t="s">
        <v>32</v>
      </c>
      <c r="Q51" s="2" t="s">
        <v>32</v>
      </c>
      <c r="R51" s="2" t="s">
        <v>84</v>
      </c>
      <c r="S51" s="2" t="s">
        <v>95</v>
      </c>
      <c r="U51" s="2" t="n">
        <f aca="false">IF(AND(F51&lt;&gt;"",G51&lt;&gt;""),G51-F51,"")</f>
        <v>4</v>
      </c>
      <c r="V51" s="2" t="n">
        <f aca="false">IF(AND(G51&lt;&gt;"",H51&lt;&gt;""),H51-G51,"")</f>
        <v>6</v>
      </c>
      <c r="W51" s="2" t="str">
        <f aca="false">IF(AND(H51&lt;&gt;"",I51&lt;&gt;""),I51-H51,"")</f>
        <v/>
      </c>
      <c r="X51" s="2" t="str">
        <f aca="false">IF(AND(I51&lt;&gt;"",J51&lt;&gt;""),J51-I51,"")</f>
        <v/>
      </c>
      <c r="Y51" s="2" t="str">
        <f aca="false">IF(AND(J51&lt;&gt;"",K51&lt;&gt;""),K51-J51,"")</f>
        <v/>
      </c>
      <c r="Z51" s="2" t="str">
        <f aca="false">IF(AND(K51&lt;&gt;"",M51&lt;&gt;""),M51-K51,"")</f>
        <v/>
      </c>
      <c r="AA51" s="2" t="str">
        <f aca="false">IF(AND(M51&lt;&gt;"",N51&lt;&gt;""),N51-M51,"")</f>
        <v/>
      </c>
      <c r="AB51" s="2" t="str">
        <f aca="false">IF(AND(N51&lt;&gt;"",O51&lt;&gt;""),O51-N51,"")</f>
        <v/>
      </c>
    </row>
    <row r="52" customFormat="false" ht="15" hidden="false" customHeight="false" outlineLevel="0" collapsed="false">
      <c r="A52" s="2" t="s">
        <v>158</v>
      </c>
      <c r="B52" s="2" t="s">
        <v>159</v>
      </c>
      <c r="C52" s="2" t="s">
        <v>149</v>
      </c>
      <c r="D52" s="2" t="s">
        <v>45</v>
      </c>
      <c r="E52" s="2" t="s">
        <v>57</v>
      </c>
      <c r="F52" s="3" t="n">
        <v>46121</v>
      </c>
      <c r="G52" s="3" t="n">
        <v>46122</v>
      </c>
      <c r="H52" s="3" t="n">
        <v>46125</v>
      </c>
      <c r="I52" s="3" t="n">
        <v>46141</v>
      </c>
      <c r="J52" s="3" t="n">
        <v>46147</v>
      </c>
      <c r="K52" s="3" t="n">
        <v>46152</v>
      </c>
      <c r="L52" s="2" t="s">
        <v>37</v>
      </c>
      <c r="M52" s="3" t="n">
        <v>46154</v>
      </c>
      <c r="N52" s="3" t="n">
        <v>46161</v>
      </c>
      <c r="O52" s="3" t="n">
        <v>46166</v>
      </c>
      <c r="P52" s="2" t="s">
        <v>38</v>
      </c>
      <c r="Q52" s="2" t="s">
        <v>38</v>
      </c>
      <c r="R52" s="2"/>
      <c r="S52" s="2"/>
      <c r="U52" s="2" t="n">
        <f aca="false">IF(AND(F52&lt;&gt;"",G52&lt;&gt;""),G52-F52,"")</f>
        <v>1</v>
      </c>
      <c r="V52" s="2" t="n">
        <f aca="false">IF(AND(G52&lt;&gt;"",H52&lt;&gt;""),H52-G52,"")</f>
        <v>3</v>
      </c>
      <c r="W52" s="2" t="n">
        <f aca="false">IF(AND(H52&lt;&gt;"",I52&lt;&gt;""),I52-H52,"")</f>
        <v>16</v>
      </c>
      <c r="X52" s="2" t="n">
        <f aca="false">IF(AND(I52&lt;&gt;"",J52&lt;&gt;""),J52-I52,"")</f>
        <v>6</v>
      </c>
      <c r="Y52" s="2" t="n">
        <f aca="false">IF(AND(J52&lt;&gt;"",K52&lt;&gt;""),K52-J52,"")</f>
        <v>5</v>
      </c>
      <c r="Z52" s="2" t="n">
        <f aca="false">IF(AND(K52&lt;&gt;"",M52&lt;&gt;""),M52-K52,"")</f>
        <v>2</v>
      </c>
      <c r="AA52" s="2" t="n">
        <f aca="false">IF(AND(M52&lt;&gt;"",N52&lt;&gt;""),N52-M52,"")</f>
        <v>7</v>
      </c>
      <c r="AB52" s="2" t="n">
        <f aca="false">IF(AND(N52&lt;&gt;"",O52&lt;&gt;""),O52-N52,"")</f>
        <v>5</v>
      </c>
    </row>
    <row r="53" customFormat="false" ht="15" hidden="false" customHeight="false" outlineLevel="0" collapsed="false">
      <c r="A53" s="2" t="s">
        <v>160</v>
      </c>
      <c r="B53" s="2" t="s">
        <v>161</v>
      </c>
      <c r="C53" s="2" t="s">
        <v>149</v>
      </c>
      <c r="D53" s="2" t="s">
        <v>67</v>
      </c>
      <c r="E53" s="2" t="s">
        <v>57</v>
      </c>
      <c r="F53" s="3" t="n">
        <v>46204</v>
      </c>
      <c r="G53" s="3" t="n">
        <v>46206</v>
      </c>
      <c r="H53" s="3" t="n">
        <v>46212</v>
      </c>
      <c r="I53" s="3" t="n">
        <v>46226</v>
      </c>
      <c r="J53" s="3" t="n">
        <v>46227</v>
      </c>
      <c r="K53" s="2"/>
      <c r="L53" s="2"/>
      <c r="M53" s="2"/>
      <c r="N53" s="2"/>
      <c r="O53" s="2"/>
      <c r="P53" s="2" t="s">
        <v>32</v>
      </c>
      <c r="Q53" s="2" t="s">
        <v>32</v>
      </c>
      <c r="R53" s="2" t="s">
        <v>41</v>
      </c>
      <c r="S53" s="2" t="s">
        <v>42</v>
      </c>
      <c r="U53" s="2" t="n">
        <f aca="false">IF(AND(F53&lt;&gt;"",G53&lt;&gt;""),G53-F53,"")</f>
        <v>2</v>
      </c>
      <c r="V53" s="2" t="n">
        <f aca="false">IF(AND(G53&lt;&gt;"",H53&lt;&gt;""),H53-G53,"")</f>
        <v>6</v>
      </c>
      <c r="W53" s="2" t="n">
        <f aca="false">IF(AND(H53&lt;&gt;"",I53&lt;&gt;""),I53-H53,"")</f>
        <v>14</v>
      </c>
      <c r="X53" s="2" t="n">
        <f aca="false">IF(AND(I53&lt;&gt;"",J53&lt;&gt;""),J53-I53,"")</f>
        <v>1</v>
      </c>
      <c r="Y53" s="2" t="str">
        <f aca="false">IF(AND(J53&lt;&gt;"",K53&lt;&gt;""),K53-J53,"")</f>
        <v/>
      </c>
      <c r="Z53" s="2" t="str">
        <f aca="false">IF(AND(K53&lt;&gt;"",M53&lt;&gt;""),M53-K53,"")</f>
        <v/>
      </c>
      <c r="AA53" s="2" t="str">
        <f aca="false">IF(AND(M53&lt;&gt;"",N53&lt;&gt;""),N53-M53,"")</f>
        <v/>
      </c>
      <c r="AB53" s="2" t="str">
        <f aca="false">IF(AND(N53&lt;&gt;"",O53&lt;&gt;""),O53-N53,"")</f>
        <v/>
      </c>
    </row>
    <row r="54" customFormat="false" ht="15" hidden="false" customHeight="false" outlineLevel="0" collapsed="false">
      <c r="A54" s="2" t="s">
        <v>162</v>
      </c>
      <c r="B54" s="2" t="s">
        <v>163</v>
      </c>
      <c r="C54" s="2" t="s">
        <v>149</v>
      </c>
      <c r="D54" s="2" t="s">
        <v>30</v>
      </c>
      <c r="E54" s="2" t="s">
        <v>57</v>
      </c>
      <c r="F54" s="3" t="n">
        <v>46131</v>
      </c>
      <c r="G54" s="3" t="n">
        <v>46135</v>
      </c>
      <c r="H54" s="3" t="n">
        <v>46141</v>
      </c>
      <c r="I54" s="3" t="n">
        <v>46160</v>
      </c>
      <c r="J54" s="3" t="n">
        <v>46164</v>
      </c>
      <c r="K54" s="3" t="n">
        <v>46171</v>
      </c>
      <c r="L54" s="2" t="s">
        <v>48</v>
      </c>
      <c r="M54" s="3" t="n">
        <v>46177</v>
      </c>
      <c r="N54" s="2"/>
      <c r="O54" s="2"/>
      <c r="P54" s="2" t="s">
        <v>32</v>
      </c>
      <c r="Q54" s="2" t="s">
        <v>32</v>
      </c>
      <c r="R54" s="2" t="s">
        <v>49</v>
      </c>
      <c r="S54" s="2" t="s">
        <v>100</v>
      </c>
      <c r="U54" s="2" t="n">
        <f aca="false">IF(AND(F54&lt;&gt;"",G54&lt;&gt;""),G54-F54,"")</f>
        <v>4</v>
      </c>
      <c r="V54" s="2" t="n">
        <f aca="false">IF(AND(G54&lt;&gt;"",H54&lt;&gt;""),H54-G54,"")</f>
        <v>6</v>
      </c>
      <c r="W54" s="2" t="n">
        <f aca="false">IF(AND(H54&lt;&gt;"",I54&lt;&gt;""),I54-H54,"")</f>
        <v>19</v>
      </c>
      <c r="X54" s="2" t="n">
        <f aca="false">IF(AND(I54&lt;&gt;"",J54&lt;&gt;""),J54-I54,"")</f>
        <v>4</v>
      </c>
      <c r="Y54" s="2" t="n">
        <f aca="false">IF(AND(J54&lt;&gt;"",K54&lt;&gt;""),K54-J54,"")</f>
        <v>7</v>
      </c>
      <c r="Z54" s="2" t="n">
        <f aca="false">IF(AND(K54&lt;&gt;"",M54&lt;&gt;""),M54-K54,"")</f>
        <v>6</v>
      </c>
      <c r="AA54" s="2" t="str">
        <f aca="false">IF(AND(M54&lt;&gt;"",N54&lt;&gt;""),N54-M54,"")</f>
        <v/>
      </c>
      <c r="AB54" s="2" t="str">
        <f aca="false">IF(AND(N54&lt;&gt;"",O54&lt;&gt;""),O54-N54,"")</f>
        <v/>
      </c>
    </row>
    <row r="55" customFormat="false" ht="15" hidden="false" customHeight="false" outlineLevel="0" collapsed="false">
      <c r="A55" s="2" t="s">
        <v>164</v>
      </c>
      <c r="B55" s="2" t="s">
        <v>165</v>
      </c>
      <c r="C55" s="2" t="s">
        <v>149</v>
      </c>
      <c r="D55" s="2" t="s">
        <v>45</v>
      </c>
      <c r="E55" s="2" t="s">
        <v>57</v>
      </c>
      <c r="F55" s="3" t="n">
        <v>46098</v>
      </c>
      <c r="G55" s="3" t="n">
        <v>46102</v>
      </c>
      <c r="H55" s="3" t="n">
        <v>46107</v>
      </c>
      <c r="I55" s="3" t="n">
        <v>46126</v>
      </c>
      <c r="J55" s="3" t="n">
        <v>46132</v>
      </c>
      <c r="K55" s="3" t="n">
        <v>46135</v>
      </c>
      <c r="L55" s="2" t="s">
        <v>37</v>
      </c>
      <c r="M55" s="3" t="n">
        <v>46144</v>
      </c>
      <c r="N55" s="3" t="n">
        <v>46152</v>
      </c>
      <c r="O55" s="3" t="n">
        <v>46154</v>
      </c>
      <c r="P55" s="2" t="s">
        <v>38</v>
      </c>
      <c r="Q55" s="2" t="s">
        <v>38</v>
      </c>
      <c r="R55" s="2"/>
      <c r="S55" s="2"/>
      <c r="U55" s="2" t="n">
        <f aca="false">IF(AND(F55&lt;&gt;"",G55&lt;&gt;""),G55-F55,"")</f>
        <v>4</v>
      </c>
      <c r="V55" s="2" t="n">
        <f aca="false">IF(AND(G55&lt;&gt;"",H55&lt;&gt;""),H55-G55,"")</f>
        <v>5</v>
      </c>
      <c r="W55" s="2" t="n">
        <f aca="false">IF(AND(H55&lt;&gt;"",I55&lt;&gt;""),I55-H55,"")</f>
        <v>19</v>
      </c>
      <c r="X55" s="2" t="n">
        <f aca="false">IF(AND(I55&lt;&gt;"",J55&lt;&gt;""),J55-I55,"")</f>
        <v>6</v>
      </c>
      <c r="Y55" s="2" t="n">
        <f aca="false">IF(AND(J55&lt;&gt;"",K55&lt;&gt;""),K55-J55,"")</f>
        <v>3</v>
      </c>
      <c r="Z55" s="2" t="n">
        <f aca="false">IF(AND(K55&lt;&gt;"",M55&lt;&gt;""),M55-K55,"")</f>
        <v>9</v>
      </c>
      <c r="AA55" s="2" t="n">
        <f aca="false">IF(AND(M55&lt;&gt;"",N55&lt;&gt;""),N55-M55,"")</f>
        <v>8</v>
      </c>
      <c r="AB55" s="2" t="n">
        <f aca="false">IF(AND(N55&lt;&gt;"",O55&lt;&gt;""),O55-N55,"")</f>
        <v>2</v>
      </c>
    </row>
    <row r="56" customFormat="false" ht="15" hidden="false" customHeight="false" outlineLevel="0" collapsed="false">
      <c r="A56" s="2" t="s">
        <v>166</v>
      </c>
      <c r="B56" s="2" t="s">
        <v>167</v>
      </c>
      <c r="C56" s="2" t="s">
        <v>149</v>
      </c>
      <c r="D56" s="2" t="s">
        <v>60</v>
      </c>
      <c r="E56" s="2" t="s">
        <v>57</v>
      </c>
      <c r="F56" s="3" t="n">
        <v>46180</v>
      </c>
      <c r="G56" s="3" t="n">
        <v>46183</v>
      </c>
      <c r="H56" s="3" t="n">
        <v>46188</v>
      </c>
      <c r="I56" s="3" t="n">
        <v>46193</v>
      </c>
      <c r="J56" s="3" t="n">
        <v>46196</v>
      </c>
      <c r="K56" s="2"/>
      <c r="L56" s="2"/>
      <c r="M56" s="2"/>
      <c r="N56" s="2"/>
      <c r="O56" s="2"/>
      <c r="P56" s="2" t="s">
        <v>32</v>
      </c>
      <c r="Q56" s="2" t="s">
        <v>32</v>
      </c>
      <c r="R56" s="2" t="s">
        <v>41</v>
      </c>
      <c r="S56" s="2" t="s">
        <v>61</v>
      </c>
      <c r="U56" s="2" t="n">
        <f aca="false">IF(AND(F56&lt;&gt;"",G56&lt;&gt;""),G56-F56,"")</f>
        <v>3</v>
      </c>
      <c r="V56" s="2" t="n">
        <f aca="false">IF(AND(G56&lt;&gt;"",H56&lt;&gt;""),H56-G56,"")</f>
        <v>5</v>
      </c>
      <c r="W56" s="2" t="n">
        <f aca="false">IF(AND(H56&lt;&gt;"",I56&lt;&gt;""),I56-H56,"")</f>
        <v>5</v>
      </c>
      <c r="X56" s="2" t="n">
        <f aca="false">IF(AND(I56&lt;&gt;"",J56&lt;&gt;""),J56-I56,"")</f>
        <v>3</v>
      </c>
      <c r="Y56" s="2" t="str">
        <f aca="false">IF(AND(J56&lt;&gt;"",K56&lt;&gt;""),K56-J56,"")</f>
        <v/>
      </c>
      <c r="Z56" s="2" t="str">
        <f aca="false">IF(AND(K56&lt;&gt;"",M56&lt;&gt;""),M56-K56,"")</f>
        <v/>
      </c>
      <c r="AA56" s="2" t="str">
        <f aca="false">IF(AND(M56&lt;&gt;"",N56&lt;&gt;""),N56-M56,"")</f>
        <v/>
      </c>
      <c r="AB56" s="2" t="str">
        <f aca="false">IF(AND(N56&lt;&gt;"",O56&lt;&gt;""),O56-N56,"")</f>
        <v/>
      </c>
    </row>
    <row r="57" customFormat="false" ht="15" hidden="false" customHeight="false" outlineLevel="0" collapsed="false">
      <c r="A57" s="2" t="s">
        <v>168</v>
      </c>
      <c r="B57" s="2" t="s">
        <v>169</v>
      </c>
      <c r="C57" s="2" t="s">
        <v>170</v>
      </c>
      <c r="D57" s="2" t="s">
        <v>60</v>
      </c>
      <c r="E57" s="2" t="s">
        <v>171</v>
      </c>
      <c r="F57" s="3" t="n">
        <v>46067</v>
      </c>
      <c r="G57" s="3" t="n">
        <v>46069</v>
      </c>
      <c r="H57" s="3" t="n">
        <v>46075</v>
      </c>
      <c r="I57" s="3" t="n">
        <v>46077</v>
      </c>
      <c r="J57" s="3" t="n">
        <v>46080</v>
      </c>
      <c r="K57" s="3" t="n">
        <v>46085</v>
      </c>
      <c r="L57" s="2" t="s">
        <v>37</v>
      </c>
      <c r="M57" s="3" t="n">
        <v>46094</v>
      </c>
      <c r="N57" s="3" t="n">
        <v>46104</v>
      </c>
      <c r="O57" s="3" t="n">
        <v>46107</v>
      </c>
      <c r="P57" s="2" t="s">
        <v>38</v>
      </c>
      <c r="Q57" s="2" t="s">
        <v>38</v>
      </c>
      <c r="R57" s="2"/>
      <c r="S57" s="2"/>
      <c r="U57" s="2" t="n">
        <f aca="false">IF(AND(F57&lt;&gt;"",G57&lt;&gt;""),G57-F57,"")</f>
        <v>2</v>
      </c>
      <c r="V57" s="2" t="n">
        <f aca="false">IF(AND(G57&lt;&gt;"",H57&lt;&gt;""),H57-G57,"")</f>
        <v>6</v>
      </c>
      <c r="W57" s="2" t="n">
        <f aca="false">IF(AND(H57&lt;&gt;"",I57&lt;&gt;""),I57-H57,"")</f>
        <v>2</v>
      </c>
      <c r="X57" s="2" t="n">
        <f aca="false">IF(AND(I57&lt;&gt;"",J57&lt;&gt;""),J57-I57,"")</f>
        <v>3</v>
      </c>
      <c r="Y57" s="2" t="n">
        <f aca="false">IF(AND(J57&lt;&gt;"",K57&lt;&gt;""),K57-J57,"")</f>
        <v>5</v>
      </c>
      <c r="Z57" s="2" t="n">
        <f aca="false">IF(AND(K57&lt;&gt;"",M57&lt;&gt;""),M57-K57,"")</f>
        <v>9</v>
      </c>
      <c r="AA57" s="2" t="n">
        <f aca="false">IF(AND(M57&lt;&gt;"",N57&lt;&gt;""),N57-M57,"")</f>
        <v>10</v>
      </c>
      <c r="AB57" s="2" t="n">
        <f aca="false">IF(AND(N57&lt;&gt;"",O57&lt;&gt;""),O57-N57,"")</f>
        <v>3</v>
      </c>
    </row>
    <row r="58" customFormat="false" ht="15" hidden="false" customHeight="false" outlineLevel="0" collapsed="false">
      <c r="A58" s="2" t="s">
        <v>172</v>
      </c>
      <c r="B58" s="2" t="s">
        <v>173</v>
      </c>
      <c r="C58" s="2" t="s">
        <v>170</v>
      </c>
      <c r="D58" s="2" t="s">
        <v>45</v>
      </c>
      <c r="E58" s="2" t="s">
        <v>171</v>
      </c>
      <c r="F58" s="3" t="n">
        <v>46195</v>
      </c>
      <c r="G58" s="3" t="n">
        <v>46199</v>
      </c>
      <c r="H58" s="2"/>
      <c r="I58" s="2"/>
      <c r="J58" s="2"/>
      <c r="K58" s="2"/>
      <c r="L58" s="2"/>
      <c r="M58" s="2"/>
      <c r="N58" s="2"/>
      <c r="O58" s="2"/>
      <c r="P58" s="2" t="s">
        <v>32</v>
      </c>
      <c r="Q58" s="2" t="s">
        <v>32</v>
      </c>
      <c r="R58" s="2" t="s">
        <v>33</v>
      </c>
      <c r="S58" s="2" t="s">
        <v>53</v>
      </c>
      <c r="U58" s="2" t="n">
        <f aca="false">IF(AND(F58&lt;&gt;"",G58&lt;&gt;""),G58-F58,"")</f>
        <v>4</v>
      </c>
      <c r="V58" s="2" t="str">
        <f aca="false">IF(AND(G58&lt;&gt;"",H58&lt;&gt;""),H58-G58,"")</f>
        <v/>
      </c>
      <c r="W58" s="2" t="str">
        <f aca="false">IF(AND(H58&lt;&gt;"",I58&lt;&gt;""),I58-H58,"")</f>
        <v/>
      </c>
      <c r="X58" s="2" t="str">
        <f aca="false">IF(AND(I58&lt;&gt;"",J58&lt;&gt;""),J58-I58,"")</f>
        <v/>
      </c>
      <c r="Y58" s="2" t="str">
        <f aca="false">IF(AND(J58&lt;&gt;"",K58&lt;&gt;""),K58-J58,"")</f>
        <v/>
      </c>
      <c r="Z58" s="2" t="str">
        <f aca="false">IF(AND(K58&lt;&gt;"",M58&lt;&gt;""),M58-K58,"")</f>
        <v/>
      </c>
      <c r="AA58" s="2" t="str">
        <f aca="false">IF(AND(M58&lt;&gt;"",N58&lt;&gt;""),N58-M58,"")</f>
        <v/>
      </c>
      <c r="AB58" s="2" t="str">
        <f aca="false">IF(AND(N58&lt;&gt;"",O58&lt;&gt;""),O58-N58,"")</f>
        <v/>
      </c>
    </row>
    <row r="59" customFormat="false" ht="15" hidden="false" customHeight="false" outlineLevel="0" collapsed="false">
      <c r="A59" s="2" t="s">
        <v>174</v>
      </c>
      <c r="B59" s="2" t="s">
        <v>175</v>
      </c>
      <c r="C59" s="2" t="s">
        <v>170</v>
      </c>
      <c r="D59" s="2" t="s">
        <v>45</v>
      </c>
      <c r="E59" s="2" t="s">
        <v>171</v>
      </c>
      <c r="F59" s="3" t="n">
        <v>46093</v>
      </c>
      <c r="G59" s="3" t="n">
        <v>46097</v>
      </c>
      <c r="H59" s="3" t="n">
        <v>46101</v>
      </c>
      <c r="I59" s="3" t="n">
        <v>46118</v>
      </c>
      <c r="J59" s="3" t="n">
        <v>46120</v>
      </c>
      <c r="K59" s="3" t="n">
        <v>46124</v>
      </c>
      <c r="L59" s="2" t="s">
        <v>37</v>
      </c>
      <c r="M59" s="3" t="n">
        <v>46132</v>
      </c>
      <c r="N59" s="3" t="n">
        <v>46137</v>
      </c>
      <c r="O59" s="3" t="n">
        <v>46141</v>
      </c>
      <c r="P59" s="2" t="s">
        <v>38</v>
      </c>
      <c r="Q59" s="2" t="s">
        <v>38</v>
      </c>
      <c r="R59" s="2"/>
      <c r="S59" s="2"/>
      <c r="U59" s="2" t="n">
        <f aca="false">IF(AND(F59&lt;&gt;"",G59&lt;&gt;""),G59-F59,"")</f>
        <v>4</v>
      </c>
      <c r="V59" s="2" t="n">
        <f aca="false">IF(AND(G59&lt;&gt;"",H59&lt;&gt;""),H59-G59,"")</f>
        <v>4</v>
      </c>
      <c r="W59" s="2" t="n">
        <f aca="false">IF(AND(H59&lt;&gt;"",I59&lt;&gt;""),I59-H59,"")</f>
        <v>17</v>
      </c>
      <c r="X59" s="2" t="n">
        <f aca="false">IF(AND(I59&lt;&gt;"",J59&lt;&gt;""),J59-I59,"")</f>
        <v>2</v>
      </c>
      <c r="Y59" s="2" t="n">
        <f aca="false">IF(AND(J59&lt;&gt;"",K59&lt;&gt;""),K59-J59,"")</f>
        <v>4</v>
      </c>
      <c r="Z59" s="2" t="n">
        <f aca="false">IF(AND(K59&lt;&gt;"",M59&lt;&gt;""),M59-K59,"")</f>
        <v>8</v>
      </c>
      <c r="AA59" s="2" t="n">
        <f aca="false">IF(AND(M59&lt;&gt;"",N59&lt;&gt;""),N59-M59,"")</f>
        <v>5</v>
      </c>
      <c r="AB59" s="2" t="n">
        <f aca="false">IF(AND(N59&lt;&gt;"",O59&lt;&gt;""),O59-N59,"")</f>
        <v>4</v>
      </c>
    </row>
    <row r="60" customFormat="false" ht="15" hidden="false" customHeight="false" outlineLevel="0" collapsed="false">
      <c r="A60" s="2" t="s">
        <v>176</v>
      </c>
      <c r="B60" s="2" t="s">
        <v>177</v>
      </c>
      <c r="C60" s="2" t="s">
        <v>170</v>
      </c>
      <c r="D60" s="2" t="s">
        <v>67</v>
      </c>
      <c r="E60" s="2" t="s">
        <v>171</v>
      </c>
      <c r="F60" s="3" t="n">
        <v>46183</v>
      </c>
      <c r="G60" s="3" t="n">
        <v>46186</v>
      </c>
      <c r="H60" s="3" t="n">
        <v>46190</v>
      </c>
      <c r="I60" s="3" t="n">
        <v>46195</v>
      </c>
      <c r="J60" s="3" t="n">
        <v>46199</v>
      </c>
      <c r="K60" s="3" t="n">
        <v>46204</v>
      </c>
      <c r="L60" s="2" t="s">
        <v>37</v>
      </c>
      <c r="M60" s="3" t="n">
        <v>46211</v>
      </c>
      <c r="N60" s="3" t="n">
        <v>46220</v>
      </c>
      <c r="O60" s="3" t="n">
        <v>46224</v>
      </c>
      <c r="P60" s="2" t="s">
        <v>38</v>
      </c>
      <c r="Q60" s="2" t="s">
        <v>38</v>
      </c>
      <c r="R60" s="2"/>
      <c r="S60" s="2"/>
      <c r="U60" s="2" t="n">
        <f aca="false">IF(AND(F60&lt;&gt;"",G60&lt;&gt;""),G60-F60,"")</f>
        <v>3</v>
      </c>
      <c r="V60" s="2" t="n">
        <f aca="false">IF(AND(G60&lt;&gt;"",H60&lt;&gt;""),H60-G60,"")</f>
        <v>4</v>
      </c>
      <c r="W60" s="2" t="n">
        <f aca="false">IF(AND(H60&lt;&gt;"",I60&lt;&gt;""),I60-H60,"")</f>
        <v>5</v>
      </c>
      <c r="X60" s="2" t="n">
        <f aca="false">IF(AND(I60&lt;&gt;"",J60&lt;&gt;""),J60-I60,"")</f>
        <v>4</v>
      </c>
      <c r="Y60" s="2" t="n">
        <f aca="false">IF(AND(J60&lt;&gt;"",K60&lt;&gt;""),K60-J60,"")</f>
        <v>5</v>
      </c>
      <c r="Z60" s="2" t="n">
        <f aca="false">IF(AND(K60&lt;&gt;"",M60&lt;&gt;""),M60-K60,"")</f>
        <v>7</v>
      </c>
      <c r="AA60" s="2" t="n">
        <f aca="false">IF(AND(M60&lt;&gt;"",N60&lt;&gt;""),N60-M60,"")</f>
        <v>9</v>
      </c>
      <c r="AB60" s="2" t="n">
        <f aca="false">IF(AND(N60&lt;&gt;"",O60&lt;&gt;""),O60-N60,"")</f>
        <v>4</v>
      </c>
    </row>
    <row r="61" customFormat="false" ht="15" hidden="false" customHeight="false" outlineLevel="0" collapsed="false">
      <c r="A61" s="2" t="s">
        <v>178</v>
      </c>
      <c r="B61" s="2" t="s">
        <v>179</v>
      </c>
      <c r="C61" s="2" t="s">
        <v>170</v>
      </c>
      <c r="D61" s="2" t="s">
        <v>45</v>
      </c>
      <c r="E61" s="2" t="s">
        <v>171</v>
      </c>
      <c r="F61" s="3" t="n">
        <v>46113</v>
      </c>
      <c r="G61" s="3" t="n">
        <v>46117</v>
      </c>
      <c r="H61" s="2"/>
      <c r="I61" s="2"/>
      <c r="J61" s="2"/>
      <c r="K61" s="2"/>
      <c r="L61" s="2"/>
      <c r="M61" s="2"/>
      <c r="N61" s="2"/>
      <c r="O61" s="2"/>
      <c r="P61" s="2" t="s">
        <v>32</v>
      </c>
      <c r="Q61" s="2" t="s">
        <v>32</v>
      </c>
      <c r="R61" s="2" t="s">
        <v>33</v>
      </c>
      <c r="S61" s="2" t="s">
        <v>68</v>
      </c>
      <c r="U61" s="2" t="n">
        <f aca="false">IF(AND(F61&lt;&gt;"",G61&lt;&gt;""),G61-F61,"")</f>
        <v>4</v>
      </c>
      <c r="V61" s="2" t="str">
        <f aca="false">IF(AND(G61&lt;&gt;"",H61&lt;&gt;""),H61-G61,"")</f>
        <v/>
      </c>
      <c r="W61" s="2" t="str">
        <f aca="false">IF(AND(H61&lt;&gt;"",I61&lt;&gt;""),I61-H61,"")</f>
        <v/>
      </c>
      <c r="X61" s="2" t="str">
        <f aca="false">IF(AND(I61&lt;&gt;"",J61&lt;&gt;""),J61-I61,"")</f>
        <v/>
      </c>
      <c r="Y61" s="2" t="str">
        <f aca="false">IF(AND(J61&lt;&gt;"",K61&lt;&gt;""),K61-J61,"")</f>
        <v/>
      </c>
      <c r="Z61" s="2" t="str">
        <f aca="false">IF(AND(K61&lt;&gt;"",M61&lt;&gt;""),M61-K61,"")</f>
        <v/>
      </c>
      <c r="AA61" s="2" t="str">
        <f aca="false">IF(AND(M61&lt;&gt;"",N61&lt;&gt;""),N61-M61,"")</f>
        <v/>
      </c>
      <c r="AB61" s="2" t="str">
        <f aca="false">IF(AND(N61&lt;&gt;"",O61&lt;&gt;""),O61-N61,"")</f>
        <v/>
      </c>
    </row>
    <row r="62" customFormat="false" ht="15" hidden="false" customHeight="false" outlineLevel="0" collapsed="false">
      <c r="A62" s="2" t="s">
        <v>180</v>
      </c>
      <c r="B62" s="2" t="s">
        <v>181</v>
      </c>
      <c r="C62" s="2" t="s">
        <v>170</v>
      </c>
      <c r="D62" s="2" t="s">
        <v>60</v>
      </c>
      <c r="E62" s="2" t="s">
        <v>171</v>
      </c>
      <c r="F62" s="3" t="n">
        <v>46092</v>
      </c>
      <c r="G62" s="3" t="n">
        <v>46096</v>
      </c>
      <c r="H62" s="3" t="n">
        <v>46099</v>
      </c>
      <c r="I62" s="3" t="n">
        <v>46101</v>
      </c>
      <c r="J62" s="3" t="n">
        <v>46102</v>
      </c>
      <c r="K62" s="3" t="n">
        <v>46108</v>
      </c>
      <c r="L62" s="2" t="s">
        <v>37</v>
      </c>
      <c r="M62" s="3" t="n">
        <v>46110</v>
      </c>
      <c r="N62" s="3" t="n">
        <v>46119</v>
      </c>
      <c r="O62" s="3" t="n">
        <v>46122</v>
      </c>
      <c r="P62" s="2" t="s">
        <v>38</v>
      </c>
      <c r="Q62" s="2" t="s">
        <v>38</v>
      </c>
      <c r="R62" s="2"/>
      <c r="S62" s="2"/>
      <c r="U62" s="2" t="n">
        <f aca="false">IF(AND(F62&lt;&gt;"",G62&lt;&gt;""),G62-F62,"")</f>
        <v>4</v>
      </c>
      <c r="V62" s="2" t="n">
        <f aca="false">IF(AND(G62&lt;&gt;"",H62&lt;&gt;""),H62-G62,"")</f>
        <v>3</v>
      </c>
      <c r="W62" s="2" t="n">
        <f aca="false">IF(AND(H62&lt;&gt;"",I62&lt;&gt;""),I62-H62,"")</f>
        <v>2</v>
      </c>
      <c r="X62" s="2" t="n">
        <f aca="false">IF(AND(I62&lt;&gt;"",J62&lt;&gt;""),J62-I62,"")</f>
        <v>1</v>
      </c>
      <c r="Y62" s="2" t="n">
        <f aca="false">IF(AND(J62&lt;&gt;"",K62&lt;&gt;""),K62-J62,"")</f>
        <v>6</v>
      </c>
      <c r="Z62" s="2" t="n">
        <f aca="false">IF(AND(K62&lt;&gt;"",M62&lt;&gt;""),M62-K62,"")</f>
        <v>2</v>
      </c>
      <c r="AA62" s="2" t="n">
        <f aca="false">IF(AND(M62&lt;&gt;"",N62&lt;&gt;""),N62-M62,"")</f>
        <v>9</v>
      </c>
      <c r="AB62" s="2" t="n">
        <f aca="false">IF(AND(N62&lt;&gt;"",O62&lt;&gt;""),O62-N62,"")</f>
        <v>3</v>
      </c>
    </row>
    <row r="63" customFormat="false" ht="15" hidden="false" customHeight="false" outlineLevel="0" collapsed="false">
      <c r="A63" s="2" t="s">
        <v>182</v>
      </c>
      <c r="B63" s="2" t="s">
        <v>183</v>
      </c>
      <c r="C63" s="2" t="s">
        <v>170</v>
      </c>
      <c r="D63" s="2" t="s">
        <v>45</v>
      </c>
      <c r="E63" s="2" t="s">
        <v>171</v>
      </c>
      <c r="F63" s="3" t="n">
        <v>46121</v>
      </c>
      <c r="G63" s="3" t="n">
        <v>46124</v>
      </c>
      <c r="H63" s="3" t="n">
        <v>46129</v>
      </c>
      <c r="I63" s="3" t="n">
        <v>46134</v>
      </c>
      <c r="J63" s="3" t="n">
        <v>46140</v>
      </c>
      <c r="K63" s="3" t="n">
        <v>46146</v>
      </c>
      <c r="L63" s="2" t="s">
        <v>48</v>
      </c>
      <c r="M63" s="3" t="n">
        <v>46156</v>
      </c>
      <c r="N63" s="2"/>
      <c r="O63" s="2"/>
      <c r="P63" s="2" t="s">
        <v>32</v>
      </c>
      <c r="Q63" s="2" t="s">
        <v>32</v>
      </c>
      <c r="R63" s="2" t="s">
        <v>49</v>
      </c>
      <c r="S63" s="2" t="s">
        <v>100</v>
      </c>
      <c r="U63" s="2" t="n">
        <f aca="false">IF(AND(F63&lt;&gt;"",G63&lt;&gt;""),G63-F63,"")</f>
        <v>3</v>
      </c>
      <c r="V63" s="2" t="n">
        <f aca="false">IF(AND(G63&lt;&gt;"",H63&lt;&gt;""),H63-G63,"")</f>
        <v>5</v>
      </c>
      <c r="W63" s="2" t="n">
        <f aca="false">IF(AND(H63&lt;&gt;"",I63&lt;&gt;""),I63-H63,"")</f>
        <v>5</v>
      </c>
      <c r="X63" s="2" t="n">
        <f aca="false">IF(AND(I63&lt;&gt;"",J63&lt;&gt;""),J63-I63,"")</f>
        <v>6</v>
      </c>
      <c r="Y63" s="2" t="n">
        <f aca="false">IF(AND(J63&lt;&gt;"",K63&lt;&gt;""),K63-J63,"")</f>
        <v>6</v>
      </c>
      <c r="Z63" s="2" t="n">
        <f aca="false">IF(AND(K63&lt;&gt;"",M63&lt;&gt;""),M63-K63,"")</f>
        <v>10</v>
      </c>
      <c r="AA63" s="2" t="str">
        <f aca="false">IF(AND(M63&lt;&gt;"",N63&lt;&gt;""),N63-M63,"")</f>
        <v/>
      </c>
      <c r="AB63" s="2" t="str">
        <f aca="false">IF(AND(N63&lt;&gt;"",O63&lt;&gt;""),O63-N63,"")</f>
        <v/>
      </c>
    </row>
    <row r="64" customFormat="false" ht="15" hidden="false" customHeight="false" outlineLevel="0" collapsed="false">
      <c r="A64" s="2" t="s">
        <v>184</v>
      </c>
      <c r="B64" s="2" t="s">
        <v>185</v>
      </c>
      <c r="C64" s="2" t="s">
        <v>170</v>
      </c>
      <c r="D64" s="2" t="s">
        <v>64</v>
      </c>
      <c r="E64" s="2" t="s">
        <v>171</v>
      </c>
      <c r="F64" s="3" t="n">
        <v>46077</v>
      </c>
      <c r="G64" s="3" t="n">
        <v>46081</v>
      </c>
      <c r="H64" s="3" t="n">
        <v>46083</v>
      </c>
      <c r="I64" s="3" t="n">
        <v>46085</v>
      </c>
      <c r="J64" s="3" t="n">
        <v>46088</v>
      </c>
      <c r="K64" s="3" t="n">
        <v>46093</v>
      </c>
      <c r="L64" s="2" t="s">
        <v>37</v>
      </c>
      <c r="M64" s="3" t="n">
        <v>46100</v>
      </c>
      <c r="N64" s="3" t="n">
        <v>46105</v>
      </c>
      <c r="O64" s="3" t="n">
        <v>46110</v>
      </c>
      <c r="P64" s="2" t="s">
        <v>38</v>
      </c>
      <c r="Q64" s="2" t="s">
        <v>38</v>
      </c>
      <c r="R64" s="2"/>
      <c r="S64" s="2"/>
      <c r="U64" s="2" t="n">
        <f aca="false">IF(AND(F64&lt;&gt;"",G64&lt;&gt;""),G64-F64,"")</f>
        <v>4</v>
      </c>
      <c r="V64" s="2" t="n">
        <f aca="false">IF(AND(G64&lt;&gt;"",H64&lt;&gt;""),H64-G64,"")</f>
        <v>2</v>
      </c>
      <c r="W64" s="2" t="n">
        <f aca="false">IF(AND(H64&lt;&gt;"",I64&lt;&gt;""),I64-H64,"")</f>
        <v>2</v>
      </c>
      <c r="X64" s="2" t="n">
        <f aca="false">IF(AND(I64&lt;&gt;"",J64&lt;&gt;""),J64-I64,"")</f>
        <v>3</v>
      </c>
      <c r="Y64" s="2" t="n">
        <f aca="false">IF(AND(J64&lt;&gt;"",K64&lt;&gt;""),K64-J64,"")</f>
        <v>5</v>
      </c>
      <c r="Z64" s="2" t="n">
        <f aca="false">IF(AND(K64&lt;&gt;"",M64&lt;&gt;""),M64-K64,"")</f>
        <v>7</v>
      </c>
      <c r="AA64" s="2" t="n">
        <f aca="false">IF(AND(M64&lt;&gt;"",N64&lt;&gt;""),N64-M64,"")</f>
        <v>5</v>
      </c>
      <c r="AB64" s="2" t="n">
        <f aca="false">IF(AND(N64&lt;&gt;"",O64&lt;&gt;""),O64-N64,"")</f>
        <v>5</v>
      </c>
    </row>
    <row r="65" customFormat="false" ht="15" hidden="false" customHeight="false" outlineLevel="0" collapsed="false">
      <c r="A65" s="2" t="s">
        <v>186</v>
      </c>
      <c r="B65" s="2" t="s">
        <v>187</v>
      </c>
      <c r="C65" s="2" t="s">
        <v>170</v>
      </c>
      <c r="D65" s="2" t="s">
        <v>30</v>
      </c>
      <c r="E65" s="2" t="s">
        <v>171</v>
      </c>
      <c r="F65" s="3" t="n">
        <v>46151</v>
      </c>
      <c r="G65" s="3" t="n">
        <v>46156</v>
      </c>
      <c r="H65" s="3" t="n">
        <v>46161</v>
      </c>
      <c r="I65" s="3" t="n">
        <v>46178</v>
      </c>
      <c r="J65" s="3" t="n">
        <v>46182</v>
      </c>
      <c r="K65" s="2"/>
      <c r="L65" s="2"/>
      <c r="M65" s="2"/>
      <c r="N65" s="2"/>
      <c r="O65" s="2"/>
      <c r="P65" s="2" t="s">
        <v>32</v>
      </c>
      <c r="Q65" s="2" t="s">
        <v>32</v>
      </c>
      <c r="R65" s="2" t="s">
        <v>41</v>
      </c>
      <c r="S65" s="2" t="s">
        <v>61</v>
      </c>
      <c r="U65" s="2" t="n">
        <f aca="false">IF(AND(F65&lt;&gt;"",G65&lt;&gt;""),G65-F65,"")</f>
        <v>5</v>
      </c>
      <c r="V65" s="2" t="n">
        <f aca="false">IF(AND(G65&lt;&gt;"",H65&lt;&gt;""),H65-G65,"")</f>
        <v>5</v>
      </c>
      <c r="W65" s="2" t="n">
        <f aca="false">IF(AND(H65&lt;&gt;"",I65&lt;&gt;""),I65-H65,"")</f>
        <v>17</v>
      </c>
      <c r="X65" s="2" t="n">
        <f aca="false">IF(AND(I65&lt;&gt;"",J65&lt;&gt;""),J65-I65,"")</f>
        <v>4</v>
      </c>
      <c r="Y65" s="2" t="str">
        <f aca="false">IF(AND(J65&lt;&gt;"",K65&lt;&gt;""),K65-J65,"")</f>
        <v/>
      </c>
      <c r="Z65" s="2" t="str">
        <f aca="false">IF(AND(K65&lt;&gt;"",M65&lt;&gt;""),M65-K65,"")</f>
        <v/>
      </c>
      <c r="AA65" s="2" t="str">
        <f aca="false">IF(AND(M65&lt;&gt;"",N65&lt;&gt;""),N65-M65,"")</f>
        <v/>
      </c>
      <c r="AB65" s="2" t="str">
        <f aca="false">IF(AND(N65&lt;&gt;"",O65&lt;&gt;""),O65-N65,"")</f>
        <v/>
      </c>
    </row>
    <row r="66" customFormat="false" ht="15" hidden="false" customHeight="false" outlineLevel="0" collapsed="false">
      <c r="A66" s="2" t="s">
        <v>188</v>
      </c>
      <c r="B66" s="2" t="s">
        <v>189</v>
      </c>
      <c r="C66" s="2" t="s">
        <v>170</v>
      </c>
      <c r="D66" s="2" t="s">
        <v>45</v>
      </c>
      <c r="E66" s="2" t="s">
        <v>171</v>
      </c>
      <c r="F66" s="3" t="n">
        <v>46094</v>
      </c>
      <c r="G66" s="3" t="n">
        <v>46095</v>
      </c>
      <c r="H66" s="3" t="n">
        <v>46099</v>
      </c>
      <c r="I66" s="3" t="n">
        <v>46115</v>
      </c>
      <c r="J66" s="3" t="n">
        <v>46119</v>
      </c>
      <c r="K66" s="3" t="n">
        <v>46123</v>
      </c>
      <c r="L66" s="2" t="s">
        <v>37</v>
      </c>
      <c r="M66" s="3" t="n">
        <v>46131</v>
      </c>
      <c r="N66" s="3" t="n">
        <v>46135</v>
      </c>
      <c r="O66" s="3" t="n">
        <v>46139</v>
      </c>
      <c r="P66" s="2" t="s">
        <v>38</v>
      </c>
      <c r="Q66" s="2" t="s">
        <v>38</v>
      </c>
      <c r="R66" s="2"/>
      <c r="S66" s="2"/>
      <c r="U66" s="2" t="n">
        <f aca="false">IF(AND(F66&lt;&gt;"",G66&lt;&gt;""),G66-F66,"")</f>
        <v>1</v>
      </c>
      <c r="V66" s="2" t="n">
        <f aca="false">IF(AND(G66&lt;&gt;"",H66&lt;&gt;""),H66-G66,"")</f>
        <v>4</v>
      </c>
      <c r="W66" s="2" t="n">
        <f aca="false">IF(AND(H66&lt;&gt;"",I66&lt;&gt;""),I66-H66,"")</f>
        <v>16</v>
      </c>
      <c r="X66" s="2" t="n">
        <f aca="false">IF(AND(I66&lt;&gt;"",J66&lt;&gt;""),J66-I66,"")</f>
        <v>4</v>
      </c>
      <c r="Y66" s="2" t="n">
        <f aca="false">IF(AND(J66&lt;&gt;"",K66&lt;&gt;""),K66-J66,"")</f>
        <v>4</v>
      </c>
      <c r="Z66" s="2" t="n">
        <f aca="false">IF(AND(K66&lt;&gt;"",M66&lt;&gt;""),M66-K66,"")</f>
        <v>8</v>
      </c>
      <c r="AA66" s="2" t="n">
        <f aca="false">IF(AND(M66&lt;&gt;"",N66&lt;&gt;""),N66-M66,"")</f>
        <v>4</v>
      </c>
      <c r="AB66" s="2" t="n">
        <f aca="false">IF(AND(N66&lt;&gt;"",O66&lt;&gt;""),O66-N66,"")</f>
        <v>4</v>
      </c>
    </row>
    <row r="67" customFormat="false" ht="15" hidden="false" customHeight="false" outlineLevel="0" collapsed="false">
      <c r="A67" s="2" t="s">
        <v>190</v>
      </c>
      <c r="B67" s="2" t="s">
        <v>191</v>
      </c>
      <c r="C67" s="2" t="s">
        <v>170</v>
      </c>
      <c r="D67" s="2" t="s">
        <v>30</v>
      </c>
      <c r="E67" s="2" t="s">
        <v>171</v>
      </c>
      <c r="F67" s="3" t="n">
        <v>46155</v>
      </c>
      <c r="G67" s="3" t="n">
        <v>46158</v>
      </c>
      <c r="H67" s="2"/>
      <c r="I67" s="2"/>
      <c r="J67" s="2"/>
      <c r="K67" s="2"/>
      <c r="L67" s="2"/>
      <c r="M67" s="2"/>
      <c r="N67" s="2"/>
      <c r="O67" s="2"/>
      <c r="P67" s="2" t="s">
        <v>32</v>
      </c>
      <c r="Q67" s="2" t="s">
        <v>32</v>
      </c>
      <c r="R67" s="2" t="s">
        <v>33</v>
      </c>
      <c r="S67" s="2" t="s">
        <v>68</v>
      </c>
      <c r="U67" s="2" t="n">
        <f aca="false">IF(AND(F67&lt;&gt;"",G67&lt;&gt;""),G67-F67,"")</f>
        <v>3</v>
      </c>
      <c r="V67" s="2" t="str">
        <f aca="false">IF(AND(G67&lt;&gt;"",H67&lt;&gt;""),H67-G67,"")</f>
        <v/>
      </c>
      <c r="W67" s="2" t="str">
        <f aca="false">IF(AND(H67&lt;&gt;"",I67&lt;&gt;""),I67-H67,"")</f>
        <v/>
      </c>
      <c r="X67" s="2" t="str">
        <f aca="false">IF(AND(I67&lt;&gt;"",J67&lt;&gt;""),J67-I67,"")</f>
        <v/>
      </c>
      <c r="Y67" s="2" t="str">
        <f aca="false">IF(AND(J67&lt;&gt;"",K67&lt;&gt;""),K67-J67,"")</f>
        <v/>
      </c>
      <c r="Z67" s="2" t="str">
        <f aca="false">IF(AND(K67&lt;&gt;"",M67&lt;&gt;""),M67-K67,"")</f>
        <v/>
      </c>
      <c r="AA67" s="2" t="str">
        <f aca="false">IF(AND(M67&lt;&gt;"",N67&lt;&gt;""),N67-M67,"")</f>
        <v/>
      </c>
      <c r="AB67" s="2" t="str">
        <f aca="false">IF(AND(N67&lt;&gt;"",O67&lt;&gt;""),O67-N67,"")</f>
        <v/>
      </c>
    </row>
    <row r="68" customFormat="false" ht="15" hidden="false" customHeight="false" outlineLevel="0" collapsed="false">
      <c r="A68" s="2" t="s">
        <v>192</v>
      </c>
      <c r="B68" s="2" t="s">
        <v>193</v>
      </c>
      <c r="C68" s="2" t="s">
        <v>170</v>
      </c>
      <c r="D68" s="2" t="s">
        <v>67</v>
      </c>
      <c r="E68" s="2" t="s">
        <v>171</v>
      </c>
      <c r="F68" s="3" t="n">
        <v>46127</v>
      </c>
      <c r="G68" s="3" t="n">
        <v>46129</v>
      </c>
      <c r="H68" s="3" t="n">
        <v>46133</v>
      </c>
      <c r="I68" s="3" t="n">
        <v>46147</v>
      </c>
      <c r="J68" s="3" t="n">
        <v>46153</v>
      </c>
      <c r="K68" s="2"/>
      <c r="L68" s="2"/>
      <c r="M68" s="2"/>
      <c r="N68" s="2"/>
      <c r="O68" s="2"/>
      <c r="P68" s="2" t="s">
        <v>32</v>
      </c>
      <c r="Q68" s="2" t="s">
        <v>32</v>
      </c>
      <c r="R68" s="2" t="s">
        <v>41</v>
      </c>
      <c r="S68" s="2" t="s">
        <v>73</v>
      </c>
      <c r="U68" s="2" t="n">
        <f aca="false">IF(AND(F68&lt;&gt;"",G68&lt;&gt;""),G68-F68,"")</f>
        <v>2</v>
      </c>
      <c r="V68" s="2" t="n">
        <f aca="false">IF(AND(G68&lt;&gt;"",H68&lt;&gt;""),H68-G68,"")</f>
        <v>4</v>
      </c>
      <c r="W68" s="2" t="n">
        <f aca="false">IF(AND(H68&lt;&gt;"",I68&lt;&gt;""),I68-H68,"")</f>
        <v>14</v>
      </c>
      <c r="X68" s="2" t="n">
        <f aca="false">IF(AND(I68&lt;&gt;"",J68&lt;&gt;""),J68-I68,"")</f>
        <v>6</v>
      </c>
      <c r="Y68" s="2" t="str">
        <f aca="false">IF(AND(J68&lt;&gt;"",K68&lt;&gt;""),K68-J68,"")</f>
        <v/>
      </c>
      <c r="Z68" s="2" t="str">
        <f aca="false">IF(AND(K68&lt;&gt;"",M68&lt;&gt;""),M68-K68,"")</f>
        <v/>
      </c>
      <c r="AA68" s="2" t="str">
        <f aca="false">IF(AND(M68&lt;&gt;"",N68&lt;&gt;""),N68-M68,"")</f>
        <v/>
      </c>
      <c r="AB68" s="2" t="str">
        <f aca="false">IF(AND(N68&lt;&gt;"",O68&lt;&gt;""),O68-N68,"")</f>
        <v/>
      </c>
    </row>
    <row r="69" customFormat="false" ht="15" hidden="false" customHeight="false" outlineLevel="0" collapsed="false">
      <c r="A69" s="2" t="s">
        <v>194</v>
      </c>
      <c r="B69" s="2" t="s">
        <v>195</v>
      </c>
      <c r="C69" s="2" t="s">
        <v>170</v>
      </c>
      <c r="D69" s="2" t="s">
        <v>45</v>
      </c>
      <c r="E69" s="2" t="s">
        <v>171</v>
      </c>
      <c r="F69" s="3" t="n">
        <v>46062</v>
      </c>
      <c r="G69" s="3" t="n">
        <v>46067</v>
      </c>
      <c r="H69" s="3" t="n">
        <v>46070</v>
      </c>
      <c r="I69" s="2"/>
      <c r="J69" s="2"/>
      <c r="K69" s="2"/>
      <c r="L69" s="2"/>
      <c r="M69" s="2"/>
      <c r="N69" s="2"/>
      <c r="O69" s="2"/>
      <c r="P69" s="2" t="s">
        <v>32</v>
      </c>
      <c r="Q69" s="2" t="s">
        <v>32</v>
      </c>
      <c r="R69" s="2" t="s">
        <v>84</v>
      </c>
      <c r="S69" s="2" t="s">
        <v>85</v>
      </c>
      <c r="U69" s="2" t="n">
        <f aca="false">IF(AND(F69&lt;&gt;"",G69&lt;&gt;""),G69-F69,"")</f>
        <v>5</v>
      </c>
      <c r="V69" s="2" t="n">
        <f aca="false">IF(AND(G69&lt;&gt;"",H69&lt;&gt;""),H69-G69,"")</f>
        <v>3</v>
      </c>
      <c r="W69" s="2" t="str">
        <f aca="false">IF(AND(H69&lt;&gt;"",I69&lt;&gt;""),I69-H69,"")</f>
        <v/>
      </c>
      <c r="X69" s="2" t="str">
        <f aca="false">IF(AND(I69&lt;&gt;"",J69&lt;&gt;""),J69-I69,"")</f>
        <v/>
      </c>
      <c r="Y69" s="2" t="str">
        <f aca="false">IF(AND(J69&lt;&gt;"",K69&lt;&gt;""),K69-J69,"")</f>
        <v/>
      </c>
      <c r="Z69" s="2" t="str">
        <f aca="false">IF(AND(K69&lt;&gt;"",M69&lt;&gt;""),M69-K69,"")</f>
        <v/>
      </c>
      <c r="AA69" s="2" t="str">
        <f aca="false">IF(AND(M69&lt;&gt;"",N69&lt;&gt;""),N69-M69,"")</f>
        <v/>
      </c>
      <c r="AB69" s="2" t="str">
        <f aca="false">IF(AND(N69&lt;&gt;"",O69&lt;&gt;""),O69-N69,"")</f>
        <v/>
      </c>
    </row>
    <row r="70" customFormat="false" ht="15" hidden="false" customHeight="false" outlineLevel="0" collapsed="false">
      <c r="A70" s="2" t="s">
        <v>196</v>
      </c>
      <c r="B70" s="2" t="s">
        <v>197</v>
      </c>
      <c r="C70" s="2" t="s">
        <v>170</v>
      </c>
      <c r="D70" s="2" t="s">
        <v>30</v>
      </c>
      <c r="E70" s="2" t="s">
        <v>171</v>
      </c>
      <c r="F70" s="3" t="n">
        <v>46087</v>
      </c>
      <c r="G70" s="3" t="n">
        <v>46092</v>
      </c>
      <c r="H70" s="3" t="n">
        <v>46096</v>
      </c>
      <c r="I70" s="3" t="n">
        <v>46099</v>
      </c>
      <c r="J70" s="3" t="n">
        <v>46103</v>
      </c>
      <c r="K70" s="3" t="n">
        <v>46108</v>
      </c>
      <c r="L70" s="2" t="s">
        <v>37</v>
      </c>
      <c r="M70" s="3" t="n">
        <v>46115</v>
      </c>
      <c r="N70" s="3" t="n">
        <v>46125</v>
      </c>
      <c r="O70" s="3" t="n">
        <v>46128</v>
      </c>
      <c r="P70" s="2" t="s">
        <v>38</v>
      </c>
      <c r="Q70" s="2" t="s">
        <v>38</v>
      </c>
      <c r="R70" s="2"/>
      <c r="S70" s="2"/>
      <c r="U70" s="2" t="n">
        <f aca="false">IF(AND(F70&lt;&gt;"",G70&lt;&gt;""),G70-F70,"")</f>
        <v>5</v>
      </c>
      <c r="V70" s="2" t="n">
        <f aca="false">IF(AND(G70&lt;&gt;"",H70&lt;&gt;""),H70-G70,"")</f>
        <v>4</v>
      </c>
      <c r="W70" s="2" t="n">
        <f aca="false">IF(AND(H70&lt;&gt;"",I70&lt;&gt;""),I70-H70,"")</f>
        <v>3</v>
      </c>
      <c r="X70" s="2" t="n">
        <f aca="false">IF(AND(I70&lt;&gt;"",J70&lt;&gt;""),J70-I70,"")</f>
        <v>4</v>
      </c>
      <c r="Y70" s="2" t="n">
        <f aca="false">IF(AND(J70&lt;&gt;"",K70&lt;&gt;""),K70-J70,"")</f>
        <v>5</v>
      </c>
      <c r="Z70" s="2" t="n">
        <f aca="false">IF(AND(K70&lt;&gt;"",M70&lt;&gt;""),M70-K70,"")</f>
        <v>7</v>
      </c>
      <c r="AA70" s="2" t="n">
        <f aca="false">IF(AND(M70&lt;&gt;"",N70&lt;&gt;""),N70-M70,"")</f>
        <v>10</v>
      </c>
      <c r="AB70" s="2" t="n">
        <f aca="false">IF(AND(N70&lt;&gt;"",O70&lt;&gt;""),O70-N70,"")</f>
        <v>3</v>
      </c>
    </row>
    <row r="71" customFormat="false" ht="15" hidden="false" customHeight="false" outlineLevel="0" collapsed="false">
      <c r="A71" s="2" t="s">
        <v>198</v>
      </c>
      <c r="B71" s="2" t="s">
        <v>199</v>
      </c>
      <c r="C71" s="2" t="s">
        <v>200</v>
      </c>
      <c r="D71" s="2" t="s">
        <v>45</v>
      </c>
      <c r="E71" s="2" t="s">
        <v>57</v>
      </c>
      <c r="F71" s="3" t="n">
        <v>46057</v>
      </c>
      <c r="G71" s="3" t="n">
        <v>46060</v>
      </c>
      <c r="H71" s="3" t="n">
        <v>46065</v>
      </c>
      <c r="I71" s="3" t="n">
        <v>46069</v>
      </c>
      <c r="J71" s="3" t="n">
        <v>46075</v>
      </c>
      <c r="K71" s="3" t="n">
        <v>46078</v>
      </c>
      <c r="L71" s="2" t="s">
        <v>37</v>
      </c>
      <c r="M71" s="3" t="n">
        <v>46083</v>
      </c>
      <c r="N71" s="3" t="n">
        <v>46091</v>
      </c>
      <c r="O71" s="3" t="n">
        <v>46094</v>
      </c>
      <c r="P71" s="2" t="s">
        <v>38</v>
      </c>
      <c r="Q71" s="2" t="s">
        <v>38</v>
      </c>
      <c r="R71" s="2"/>
      <c r="S71" s="2"/>
      <c r="U71" s="2" t="n">
        <f aca="false">IF(AND(F71&lt;&gt;"",G71&lt;&gt;""),G71-F71,"")</f>
        <v>3</v>
      </c>
      <c r="V71" s="2" t="n">
        <f aca="false">IF(AND(G71&lt;&gt;"",H71&lt;&gt;""),H71-G71,"")</f>
        <v>5</v>
      </c>
      <c r="W71" s="2" t="n">
        <f aca="false">IF(AND(H71&lt;&gt;"",I71&lt;&gt;""),I71-H71,"")</f>
        <v>4</v>
      </c>
      <c r="X71" s="2" t="n">
        <f aca="false">IF(AND(I71&lt;&gt;"",J71&lt;&gt;""),J71-I71,"")</f>
        <v>6</v>
      </c>
      <c r="Y71" s="2" t="n">
        <f aca="false">IF(AND(J71&lt;&gt;"",K71&lt;&gt;""),K71-J71,"")</f>
        <v>3</v>
      </c>
      <c r="Z71" s="2" t="n">
        <f aca="false">IF(AND(K71&lt;&gt;"",M71&lt;&gt;""),M71-K71,"")</f>
        <v>5</v>
      </c>
      <c r="AA71" s="2" t="n">
        <f aca="false">IF(AND(M71&lt;&gt;"",N71&lt;&gt;""),N71-M71,"")</f>
        <v>8</v>
      </c>
      <c r="AB71" s="2" t="n">
        <f aca="false">IF(AND(N71&lt;&gt;"",O71&lt;&gt;""),O71-N71,"")</f>
        <v>3</v>
      </c>
    </row>
    <row r="72" customFormat="false" ht="15" hidden="false" customHeight="false" outlineLevel="0" collapsed="false">
      <c r="A72" s="2" t="s">
        <v>201</v>
      </c>
      <c r="B72" s="2" t="s">
        <v>123</v>
      </c>
      <c r="C72" s="2" t="s">
        <v>200</v>
      </c>
      <c r="D72" s="2" t="s">
        <v>67</v>
      </c>
      <c r="E72" s="2" t="s">
        <v>57</v>
      </c>
      <c r="F72" s="3" t="n">
        <v>46131</v>
      </c>
      <c r="G72" s="3" t="n">
        <v>46135</v>
      </c>
      <c r="H72" s="2"/>
      <c r="I72" s="2"/>
      <c r="J72" s="2"/>
      <c r="K72" s="2"/>
      <c r="L72" s="2"/>
      <c r="M72" s="2"/>
      <c r="N72" s="2"/>
      <c r="O72" s="2"/>
      <c r="P72" s="2" t="s">
        <v>32</v>
      </c>
      <c r="Q72" s="2" t="s">
        <v>32</v>
      </c>
      <c r="R72" s="2" t="s">
        <v>33</v>
      </c>
      <c r="S72" s="2" t="s">
        <v>53</v>
      </c>
      <c r="U72" s="2" t="n">
        <f aca="false">IF(AND(F72&lt;&gt;"",G72&lt;&gt;""),G72-F72,"")</f>
        <v>4</v>
      </c>
      <c r="V72" s="2" t="str">
        <f aca="false">IF(AND(G72&lt;&gt;"",H72&lt;&gt;""),H72-G72,"")</f>
        <v/>
      </c>
      <c r="W72" s="2" t="str">
        <f aca="false">IF(AND(H72&lt;&gt;"",I72&lt;&gt;""),I72-H72,"")</f>
        <v/>
      </c>
      <c r="X72" s="2" t="str">
        <f aca="false">IF(AND(I72&lt;&gt;"",J72&lt;&gt;""),J72-I72,"")</f>
        <v/>
      </c>
      <c r="Y72" s="2" t="str">
        <f aca="false">IF(AND(J72&lt;&gt;"",K72&lt;&gt;""),K72-J72,"")</f>
        <v/>
      </c>
      <c r="Z72" s="2" t="str">
        <f aca="false">IF(AND(K72&lt;&gt;"",M72&lt;&gt;""),M72-K72,"")</f>
        <v/>
      </c>
      <c r="AA72" s="2" t="str">
        <f aca="false">IF(AND(M72&lt;&gt;"",N72&lt;&gt;""),N72-M72,"")</f>
        <v/>
      </c>
      <c r="AB72" s="2" t="str">
        <f aca="false">IF(AND(N72&lt;&gt;"",O72&lt;&gt;""),O72-N72,"")</f>
        <v/>
      </c>
    </row>
    <row r="73" customFormat="false" ht="15" hidden="false" customHeight="false" outlineLevel="0" collapsed="false">
      <c r="A73" s="2" t="s">
        <v>202</v>
      </c>
      <c r="B73" s="2" t="s">
        <v>195</v>
      </c>
      <c r="C73" s="2" t="s">
        <v>200</v>
      </c>
      <c r="D73" s="2" t="s">
        <v>64</v>
      </c>
      <c r="E73" s="2" t="s">
        <v>57</v>
      </c>
      <c r="F73" s="3" t="n">
        <v>46083</v>
      </c>
      <c r="G73" s="3" t="n">
        <v>46084</v>
      </c>
      <c r="H73" s="3" t="n">
        <v>46090</v>
      </c>
      <c r="I73" s="3" t="n">
        <v>46108</v>
      </c>
      <c r="J73" s="3" t="n">
        <v>46113</v>
      </c>
      <c r="K73" s="3" t="n">
        <v>46117</v>
      </c>
      <c r="L73" s="2" t="s">
        <v>37</v>
      </c>
      <c r="M73" s="3" t="n">
        <v>46125</v>
      </c>
      <c r="N73" s="3" t="n">
        <v>46135</v>
      </c>
      <c r="O73" s="3" t="n">
        <v>46139</v>
      </c>
      <c r="P73" s="2" t="s">
        <v>38</v>
      </c>
      <c r="Q73" s="2" t="s">
        <v>38</v>
      </c>
      <c r="R73" s="2"/>
      <c r="S73" s="2"/>
      <c r="U73" s="2" t="n">
        <f aca="false">IF(AND(F73&lt;&gt;"",G73&lt;&gt;""),G73-F73,"")</f>
        <v>1</v>
      </c>
      <c r="V73" s="2" t="n">
        <f aca="false">IF(AND(G73&lt;&gt;"",H73&lt;&gt;""),H73-G73,"")</f>
        <v>6</v>
      </c>
      <c r="W73" s="2" t="n">
        <f aca="false">IF(AND(H73&lt;&gt;"",I73&lt;&gt;""),I73-H73,"")</f>
        <v>18</v>
      </c>
      <c r="X73" s="2" t="n">
        <f aca="false">IF(AND(I73&lt;&gt;"",J73&lt;&gt;""),J73-I73,"")</f>
        <v>5</v>
      </c>
      <c r="Y73" s="2" t="n">
        <f aca="false">IF(AND(J73&lt;&gt;"",K73&lt;&gt;""),K73-J73,"")</f>
        <v>4</v>
      </c>
      <c r="Z73" s="2" t="n">
        <f aca="false">IF(AND(K73&lt;&gt;"",M73&lt;&gt;""),M73-K73,"")</f>
        <v>8</v>
      </c>
      <c r="AA73" s="2" t="n">
        <f aca="false">IF(AND(M73&lt;&gt;"",N73&lt;&gt;""),N73-M73,"")</f>
        <v>10</v>
      </c>
      <c r="AB73" s="2" t="n">
        <f aca="false">IF(AND(N73&lt;&gt;"",O73&lt;&gt;""),O73-N73,"")</f>
        <v>4</v>
      </c>
    </row>
    <row r="74" customFormat="false" ht="15" hidden="false" customHeight="false" outlineLevel="0" collapsed="false">
      <c r="A74" s="2" t="s">
        <v>203</v>
      </c>
      <c r="B74" s="2" t="s">
        <v>204</v>
      </c>
      <c r="C74" s="2" t="s">
        <v>200</v>
      </c>
      <c r="D74" s="2" t="s">
        <v>30</v>
      </c>
      <c r="E74" s="2" t="s">
        <v>57</v>
      </c>
      <c r="F74" s="3" t="n">
        <v>46167</v>
      </c>
      <c r="G74" s="3" t="n">
        <v>46169</v>
      </c>
      <c r="H74" s="3" t="n">
        <v>46171</v>
      </c>
      <c r="I74" s="3" t="n">
        <v>46186</v>
      </c>
      <c r="J74" s="3" t="n">
        <v>46190</v>
      </c>
      <c r="K74" s="2"/>
      <c r="L74" s="2"/>
      <c r="M74" s="2"/>
      <c r="N74" s="2"/>
      <c r="O74" s="2"/>
      <c r="P74" s="2" t="s">
        <v>32</v>
      </c>
      <c r="Q74" s="2" t="s">
        <v>32</v>
      </c>
      <c r="R74" s="2" t="s">
        <v>41</v>
      </c>
      <c r="S74" s="2" t="s">
        <v>61</v>
      </c>
      <c r="U74" s="2" t="n">
        <f aca="false">IF(AND(F74&lt;&gt;"",G74&lt;&gt;""),G74-F74,"")</f>
        <v>2</v>
      </c>
      <c r="V74" s="2" t="n">
        <f aca="false">IF(AND(G74&lt;&gt;"",H74&lt;&gt;""),H74-G74,"")</f>
        <v>2</v>
      </c>
      <c r="W74" s="2" t="n">
        <f aca="false">IF(AND(H74&lt;&gt;"",I74&lt;&gt;""),I74-H74,"")</f>
        <v>15</v>
      </c>
      <c r="X74" s="2" t="n">
        <f aca="false">IF(AND(I74&lt;&gt;"",J74&lt;&gt;""),J74-I74,"")</f>
        <v>4</v>
      </c>
      <c r="Y74" s="2" t="str">
        <f aca="false">IF(AND(J74&lt;&gt;"",K74&lt;&gt;""),K74-J74,"")</f>
        <v/>
      </c>
      <c r="Z74" s="2" t="str">
        <f aca="false">IF(AND(K74&lt;&gt;"",M74&lt;&gt;""),M74-K74,"")</f>
        <v/>
      </c>
      <c r="AA74" s="2" t="str">
        <f aca="false">IF(AND(M74&lt;&gt;"",N74&lt;&gt;""),N74-M74,"")</f>
        <v/>
      </c>
      <c r="AB74" s="2" t="str">
        <f aca="false">IF(AND(N74&lt;&gt;"",O74&lt;&gt;""),O74-N74,"")</f>
        <v/>
      </c>
    </row>
    <row r="75" customFormat="false" ht="15" hidden="false" customHeight="false" outlineLevel="0" collapsed="false">
      <c r="A75" s="2" t="s">
        <v>205</v>
      </c>
      <c r="B75" s="2" t="s">
        <v>206</v>
      </c>
      <c r="C75" s="2" t="s">
        <v>200</v>
      </c>
      <c r="D75" s="2" t="s">
        <v>45</v>
      </c>
      <c r="E75" s="2" t="s">
        <v>57</v>
      </c>
      <c r="F75" s="3" t="n">
        <v>46059</v>
      </c>
      <c r="G75" s="3" t="n">
        <v>46060</v>
      </c>
      <c r="H75" s="3" t="n">
        <v>46063</v>
      </c>
      <c r="I75" s="3" t="n">
        <v>46066</v>
      </c>
      <c r="J75" s="3" t="n">
        <v>46071</v>
      </c>
      <c r="K75" s="2"/>
      <c r="L75" s="2"/>
      <c r="M75" s="2"/>
      <c r="N75" s="2"/>
      <c r="O75" s="2"/>
      <c r="P75" s="2" t="s">
        <v>32</v>
      </c>
      <c r="Q75" s="2" t="s">
        <v>32</v>
      </c>
      <c r="R75" s="2" t="s">
        <v>41</v>
      </c>
      <c r="S75" s="2" t="s">
        <v>61</v>
      </c>
      <c r="U75" s="2" t="n">
        <f aca="false">IF(AND(F75&lt;&gt;"",G75&lt;&gt;""),G75-F75,"")</f>
        <v>1</v>
      </c>
      <c r="V75" s="2" t="n">
        <f aca="false">IF(AND(G75&lt;&gt;"",H75&lt;&gt;""),H75-G75,"")</f>
        <v>3</v>
      </c>
      <c r="W75" s="2" t="n">
        <f aca="false">IF(AND(H75&lt;&gt;"",I75&lt;&gt;""),I75-H75,"")</f>
        <v>3</v>
      </c>
      <c r="X75" s="2" t="n">
        <f aca="false">IF(AND(I75&lt;&gt;"",J75&lt;&gt;""),J75-I75,"")</f>
        <v>5</v>
      </c>
      <c r="Y75" s="2" t="str">
        <f aca="false">IF(AND(J75&lt;&gt;"",K75&lt;&gt;""),K75-J75,"")</f>
        <v/>
      </c>
      <c r="Z75" s="2" t="str">
        <f aca="false">IF(AND(K75&lt;&gt;"",M75&lt;&gt;""),M75-K75,"")</f>
        <v/>
      </c>
      <c r="AA75" s="2" t="str">
        <f aca="false">IF(AND(M75&lt;&gt;"",N75&lt;&gt;""),N75-M75,"")</f>
        <v/>
      </c>
      <c r="AB75" s="2" t="str">
        <f aca="false">IF(AND(N75&lt;&gt;"",O75&lt;&gt;""),O75-N75,"")</f>
        <v/>
      </c>
    </row>
    <row r="76" customFormat="false" ht="15" hidden="false" customHeight="false" outlineLevel="0" collapsed="false">
      <c r="A76" s="2" t="s">
        <v>207</v>
      </c>
      <c r="B76" s="2" t="s">
        <v>208</v>
      </c>
      <c r="C76" s="2" t="s">
        <v>200</v>
      </c>
      <c r="D76" s="2" t="s">
        <v>45</v>
      </c>
      <c r="E76" s="2" t="s">
        <v>57</v>
      </c>
      <c r="F76" s="3" t="n">
        <v>46054</v>
      </c>
      <c r="G76" s="3" t="n">
        <v>46057</v>
      </c>
      <c r="H76" s="3" t="n">
        <v>46060</v>
      </c>
      <c r="I76" s="3" t="n">
        <v>46063</v>
      </c>
      <c r="J76" s="3" t="n">
        <v>46069</v>
      </c>
      <c r="K76" s="3" t="n">
        <v>46073</v>
      </c>
      <c r="L76" s="2" t="s">
        <v>37</v>
      </c>
      <c r="M76" s="3" t="n">
        <v>46075</v>
      </c>
      <c r="N76" s="3" t="n">
        <v>46081</v>
      </c>
      <c r="O76" s="3" t="n">
        <v>46083</v>
      </c>
      <c r="P76" s="2" t="s">
        <v>38</v>
      </c>
      <c r="Q76" s="2" t="s">
        <v>38</v>
      </c>
      <c r="R76" s="2"/>
      <c r="S76" s="2"/>
      <c r="U76" s="2" t="n">
        <f aca="false">IF(AND(F76&lt;&gt;"",G76&lt;&gt;""),G76-F76,"")</f>
        <v>3</v>
      </c>
      <c r="V76" s="2" t="n">
        <f aca="false">IF(AND(G76&lt;&gt;"",H76&lt;&gt;""),H76-G76,"")</f>
        <v>3</v>
      </c>
      <c r="W76" s="2" t="n">
        <f aca="false">IF(AND(H76&lt;&gt;"",I76&lt;&gt;""),I76-H76,"")</f>
        <v>3</v>
      </c>
      <c r="X76" s="2" t="n">
        <f aca="false">IF(AND(I76&lt;&gt;"",J76&lt;&gt;""),J76-I76,"")</f>
        <v>6</v>
      </c>
      <c r="Y76" s="2" t="n">
        <f aca="false">IF(AND(J76&lt;&gt;"",K76&lt;&gt;""),K76-J76,"")</f>
        <v>4</v>
      </c>
      <c r="Z76" s="2" t="n">
        <f aca="false">IF(AND(K76&lt;&gt;"",M76&lt;&gt;""),M76-K76,"")</f>
        <v>2</v>
      </c>
      <c r="AA76" s="2" t="n">
        <f aca="false">IF(AND(M76&lt;&gt;"",N76&lt;&gt;""),N76-M76,"")</f>
        <v>6</v>
      </c>
      <c r="AB76" s="2" t="n">
        <f aca="false">IF(AND(N76&lt;&gt;"",O76&lt;&gt;""),O76-N76,"")</f>
        <v>2</v>
      </c>
    </row>
    <row r="77" customFormat="false" ht="15" hidden="false" customHeight="false" outlineLevel="0" collapsed="false">
      <c r="A77" s="2" t="s">
        <v>209</v>
      </c>
      <c r="B77" s="2" t="s">
        <v>210</v>
      </c>
      <c r="C77" s="2" t="s">
        <v>200</v>
      </c>
      <c r="D77" s="2" t="s">
        <v>30</v>
      </c>
      <c r="E77" s="2" t="s">
        <v>57</v>
      </c>
      <c r="F77" s="3" t="n">
        <v>46161</v>
      </c>
      <c r="G77" s="3" t="n">
        <v>46166</v>
      </c>
      <c r="H77" s="2"/>
      <c r="I77" s="2"/>
      <c r="J77" s="2"/>
      <c r="K77" s="2"/>
      <c r="L77" s="2"/>
      <c r="M77" s="2"/>
      <c r="N77" s="2"/>
      <c r="O77" s="2"/>
      <c r="P77" s="2" t="s">
        <v>32</v>
      </c>
      <c r="Q77" s="2" t="s">
        <v>32</v>
      </c>
      <c r="R77" s="2" t="s">
        <v>33</v>
      </c>
      <c r="S77" s="2" t="s">
        <v>53</v>
      </c>
      <c r="U77" s="2" t="n">
        <f aca="false">IF(AND(F77&lt;&gt;"",G77&lt;&gt;""),G77-F77,"")</f>
        <v>5</v>
      </c>
      <c r="V77" s="2" t="str">
        <f aca="false">IF(AND(G77&lt;&gt;"",H77&lt;&gt;""),H77-G77,"")</f>
        <v/>
      </c>
      <c r="W77" s="2" t="str">
        <f aca="false">IF(AND(H77&lt;&gt;"",I77&lt;&gt;""),I77-H77,"")</f>
        <v/>
      </c>
      <c r="X77" s="2" t="str">
        <f aca="false">IF(AND(I77&lt;&gt;"",J77&lt;&gt;""),J77-I77,"")</f>
        <v/>
      </c>
      <c r="Y77" s="2" t="str">
        <f aca="false">IF(AND(J77&lt;&gt;"",K77&lt;&gt;""),K77-J77,"")</f>
        <v/>
      </c>
      <c r="Z77" s="2" t="str">
        <f aca="false">IF(AND(K77&lt;&gt;"",M77&lt;&gt;""),M77-K77,"")</f>
        <v/>
      </c>
      <c r="AA77" s="2" t="str">
        <f aca="false">IF(AND(M77&lt;&gt;"",N77&lt;&gt;""),N77-M77,"")</f>
        <v/>
      </c>
      <c r="AB77" s="2" t="str">
        <f aca="false">IF(AND(N77&lt;&gt;"",O77&lt;&gt;""),O77-N77,"")</f>
        <v/>
      </c>
    </row>
    <row r="78" customFormat="false" ht="15" hidden="false" customHeight="false" outlineLevel="0" collapsed="false">
      <c r="A78" s="2" t="s">
        <v>211</v>
      </c>
      <c r="B78" s="2" t="s">
        <v>212</v>
      </c>
      <c r="C78" s="2" t="s">
        <v>200</v>
      </c>
      <c r="D78" s="2" t="s">
        <v>45</v>
      </c>
      <c r="E78" s="2" t="s">
        <v>57</v>
      </c>
      <c r="F78" s="3" t="n">
        <v>46185</v>
      </c>
      <c r="G78" s="3" t="n">
        <v>46190</v>
      </c>
      <c r="H78" s="2"/>
      <c r="I78" s="2"/>
      <c r="J78" s="2"/>
      <c r="K78" s="2"/>
      <c r="L78" s="2"/>
      <c r="M78" s="2"/>
      <c r="N78" s="2"/>
      <c r="O78" s="2"/>
      <c r="P78" s="2" t="s">
        <v>32</v>
      </c>
      <c r="Q78" s="2" t="s">
        <v>32</v>
      </c>
      <c r="R78" s="2" t="s">
        <v>33</v>
      </c>
      <c r="S78" s="2" t="s">
        <v>68</v>
      </c>
      <c r="U78" s="2" t="n">
        <f aca="false">IF(AND(F78&lt;&gt;"",G78&lt;&gt;""),G78-F78,"")</f>
        <v>5</v>
      </c>
      <c r="V78" s="2" t="str">
        <f aca="false">IF(AND(G78&lt;&gt;"",H78&lt;&gt;""),H78-G78,"")</f>
        <v/>
      </c>
      <c r="W78" s="2" t="str">
        <f aca="false">IF(AND(H78&lt;&gt;"",I78&lt;&gt;""),I78-H78,"")</f>
        <v/>
      </c>
      <c r="X78" s="2" t="str">
        <f aca="false">IF(AND(I78&lt;&gt;"",J78&lt;&gt;""),J78-I78,"")</f>
        <v/>
      </c>
      <c r="Y78" s="2" t="str">
        <f aca="false">IF(AND(J78&lt;&gt;"",K78&lt;&gt;""),K78-J78,"")</f>
        <v/>
      </c>
      <c r="Z78" s="2" t="str">
        <f aca="false">IF(AND(K78&lt;&gt;"",M78&lt;&gt;""),M78-K78,"")</f>
        <v/>
      </c>
      <c r="AA78" s="2" t="str">
        <f aca="false">IF(AND(M78&lt;&gt;"",N78&lt;&gt;""),N78-M78,"")</f>
        <v/>
      </c>
      <c r="AB78" s="2" t="str">
        <f aca="false">IF(AND(N78&lt;&gt;"",O78&lt;&gt;""),O78-N78,"")</f>
        <v/>
      </c>
    </row>
    <row r="79" customFormat="false" ht="15" hidden="false" customHeight="false" outlineLevel="0" collapsed="false">
      <c r="A79" s="2" t="s">
        <v>213</v>
      </c>
      <c r="B79" s="2" t="s">
        <v>214</v>
      </c>
      <c r="C79" s="2" t="s">
        <v>200</v>
      </c>
      <c r="D79" s="2" t="s">
        <v>45</v>
      </c>
      <c r="E79" s="2" t="s">
        <v>57</v>
      </c>
      <c r="F79" s="3" t="n">
        <v>46187</v>
      </c>
      <c r="G79" s="3" t="n">
        <v>46190</v>
      </c>
      <c r="H79" s="3" t="n">
        <v>46192</v>
      </c>
      <c r="I79" s="2"/>
      <c r="J79" s="2"/>
      <c r="K79" s="2"/>
      <c r="L79" s="2"/>
      <c r="M79" s="2"/>
      <c r="N79" s="2"/>
      <c r="O79" s="2"/>
      <c r="P79" s="2" t="s">
        <v>32</v>
      </c>
      <c r="Q79" s="2" t="s">
        <v>32</v>
      </c>
      <c r="R79" s="2" t="s">
        <v>84</v>
      </c>
      <c r="S79" s="2" t="s">
        <v>85</v>
      </c>
      <c r="U79" s="2" t="n">
        <f aca="false">IF(AND(F79&lt;&gt;"",G79&lt;&gt;""),G79-F79,"")</f>
        <v>3</v>
      </c>
      <c r="V79" s="2" t="n">
        <f aca="false">IF(AND(G79&lt;&gt;"",H79&lt;&gt;""),H79-G79,"")</f>
        <v>2</v>
      </c>
      <c r="W79" s="2" t="str">
        <f aca="false">IF(AND(H79&lt;&gt;"",I79&lt;&gt;""),I79-H79,"")</f>
        <v/>
      </c>
      <c r="X79" s="2" t="str">
        <f aca="false">IF(AND(I79&lt;&gt;"",J79&lt;&gt;""),J79-I79,"")</f>
        <v/>
      </c>
      <c r="Y79" s="2" t="str">
        <f aca="false">IF(AND(J79&lt;&gt;"",K79&lt;&gt;""),K79-J79,"")</f>
        <v/>
      </c>
      <c r="Z79" s="2" t="str">
        <f aca="false">IF(AND(K79&lt;&gt;"",M79&lt;&gt;""),M79-K79,"")</f>
        <v/>
      </c>
      <c r="AA79" s="2" t="str">
        <f aca="false">IF(AND(M79&lt;&gt;"",N79&lt;&gt;""),N79-M79,"")</f>
        <v/>
      </c>
      <c r="AB79" s="2" t="str">
        <f aca="false">IF(AND(N79&lt;&gt;"",O79&lt;&gt;""),O79-N79,"")</f>
        <v/>
      </c>
    </row>
    <row r="80" customFormat="false" ht="15" hidden="false" customHeight="false" outlineLevel="0" collapsed="false">
      <c r="A80" s="2" t="s">
        <v>215</v>
      </c>
      <c r="B80" s="2" t="s">
        <v>216</v>
      </c>
      <c r="C80" s="2" t="s">
        <v>200</v>
      </c>
      <c r="D80" s="2" t="s">
        <v>45</v>
      </c>
      <c r="E80" s="2" t="s">
        <v>57</v>
      </c>
      <c r="F80" s="3" t="n">
        <v>46179</v>
      </c>
      <c r="G80" s="3" t="n">
        <v>46183</v>
      </c>
      <c r="H80" s="2"/>
      <c r="I80" s="2"/>
      <c r="J80" s="2"/>
      <c r="K80" s="2"/>
      <c r="L80" s="2"/>
      <c r="M80" s="2"/>
      <c r="N80" s="2"/>
      <c r="O80" s="2"/>
      <c r="P80" s="2" t="s">
        <v>32</v>
      </c>
      <c r="Q80" s="2" t="s">
        <v>32</v>
      </c>
      <c r="R80" s="2" t="s">
        <v>33</v>
      </c>
      <c r="S80" s="2" t="s">
        <v>53</v>
      </c>
      <c r="U80" s="2" t="n">
        <f aca="false">IF(AND(F80&lt;&gt;"",G80&lt;&gt;""),G80-F80,"")</f>
        <v>4</v>
      </c>
      <c r="V80" s="2" t="str">
        <f aca="false">IF(AND(G80&lt;&gt;"",H80&lt;&gt;""),H80-G80,"")</f>
        <v/>
      </c>
      <c r="W80" s="2" t="str">
        <f aca="false">IF(AND(H80&lt;&gt;"",I80&lt;&gt;""),I80-H80,"")</f>
        <v/>
      </c>
      <c r="X80" s="2" t="str">
        <f aca="false">IF(AND(I80&lt;&gt;"",J80&lt;&gt;""),J80-I80,"")</f>
        <v/>
      </c>
      <c r="Y80" s="2" t="str">
        <f aca="false">IF(AND(J80&lt;&gt;"",K80&lt;&gt;""),K80-J80,"")</f>
        <v/>
      </c>
      <c r="Z80" s="2" t="str">
        <f aca="false">IF(AND(K80&lt;&gt;"",M80&lt;&gt;""),M80-K80,"")</f>
        <v/>
      </c>
      <c r="AA80" s="2" t="str">
        <f aca="false">IF(AND(M80&lt;&gt;"",N80&lt;&gt;""),N80-M80,"")</f>
        <v/>
      </c>
      <c r="AB80" s="2" t="str">
        <f aca="false">IF(AND(N80&lt;&gt;"",O80&lt;&gt;""),O80-N80,"")</f>
        <v/>
      </c>
    </row>
    <row r="81" customFormat="false" ht="15" hidden="false" customHeight="false" outlineLevel="0" collapsed="false">
      <c r="A81" s="2" t="s">
        <v>217</v>
      </c>
      <c r="B81" s="2" t="s">
        <v>218</v>
      </c>
      <c r="C81" s="2" t="s">
        <v>200</v>
      </c>
      <c r="D81" s="2" t="s">
        <v>30</v>
      </c>
      <c r="E81" s="2" t="s">
        <v>57</v>
      </c>
      <c r="F81" s="3" t="n">
        <v>46124</v>
      </c>
      <c r="G81" s="3" t="n">
        <v>46129</v>
      </c>
      <c r="H81" s="3" t="n">
        <v>46135</v>
      </c>
      <c r="I81" s="3" t="n">
        <v>46154</v>
      </c>
      <c r="J81" s="3" t="n">
        <v>46158</v>
      </c>
      <c r="K81" s="3" t="n">
        <v>46164</v>
      </c>
      <c r="L81" s="2" t="s">
        <v>37</v>
      </c>
      <c r="M81" s="3" t="n">
        <v>46167</v>
      </c>
      <c r="N81" s="3" t="n">
        <v>46171</v>
      </c>
      <c r="O81" s="3" t="n">
        <v>46174</v>
      </c>
      <c r="P81" s="2" t="s">
        <v>38</v>
      </c>
      <c r="Q81" s="2" t="s">
        <v>38</v>
      </c>
      <c r="R81" s="2"/>
      <c r="S81" s="2"/>
      <c r="U81" s="2" t="n">
        <f aca="false">IF(AND(F81&lt;&gt;"",G81&lt;&gt;""),G81-F81,"")</f>
        <v>5</v>
      </c>
      <c r="V81" s="2" t="n">
        <f aca="false">IF(AND(G81&lt;&gt;"",H81&lt;&gt;""),H81-G81,"")</f>
        <v>6</v>
      </c>
      <c r="W81" s="2" t="n">
        <f aca="false">IF(AND(H81&lt;&gt;"",I81&lt;&gt;""),I81-H81,"")</f>
        <v>19</v>
      </c>
      <c r="X81" s="2" t="n">
        <f aca="false">IF(AND(I81&lt;&gt;"",J81&lt;&gt;""),J81-I81,"")</f>
        <v>4</v>
      </c>
      <c r="Y81" s="2" t="n">
        <f aca="false">IF(AND(J81&lt;&gt;"",K81&lt;&gt;""),K81-J81,"")</f>
        <v>6</v>
      </c>
      <c r="Z81" s="2" t="n">
        <f aca="false">IF(AND(K81&lt;&gt;"",M81&lt;&gt;""),M81-K81,"")</f>
        <v>3</v>
      </c>
      <c r="AA81" s="2" t="n">
        <f aca="false">IF(AND(M81&lt;&gt;"",N81&lt;&gt;""),N81-M81,"")</f>
        <v>4</v>
      </c>
      <c r="AB81" s="2" t="n">
        <f aca="false">IF(AND(N81&lt;&gt;"",O81&lt;&gt;""),O81-N81,"")</f>
        <v>3</v>
      </c>
    </row>
    <row r="82" customFormat="false" ht="15" hidden="false" customHeight="false" outlineLevel="0" collapsed="false">
      <c r="A82" s="2" t="s">
        <v>219</v>
      </c>
      <c r="B82" s="2" t="s">
        <v>220</v>
      </c>
      <c r="C82" s="2" t="s">
        <v>200</v>
      </c>
      <c r="D82" s="2" t="s">
        <v>67</v>
      </c>
      <c r="E82" s="2" t="s">
        <v>57</v>
      </c>
      <c r="F82" s="3" t="n">
        <v>46159</v>
      </c>
      <c r="G82" s="3" t="n">
        <v>46162</v>
      </c>
      <c r="H82" s="3" t="n">
        <v>46167</v>
      </c>
      <c r="I82" s="3" t="n">
        <v>46183</v>
      </c>
      <c r="J82" s="3" t="n">
        <v>46189</v>
      </c>
      <c r="K82" s="2"/>
      <c r="L82" s="2"/>
      <c r="M82" s="2"/>
      <c r="N82" s="2"/>
      <c r="O82" s="2"/>
      <c r="P82" s="2" t="s">
        <v>32</v>
      </c>
      <c r="Q82" s="2" t="s">
        <v>32</v>
      </c>
      <c r="R82" s="2" t="s">
        <v>41</v>
      </c>
      <c r="S82" s="2" t="s">
        <v>61</v>
      </c>
      <c r="U82" s="2" t="n">
        <f aca="false">IF(AND(F82&lt;&gt;"",G82&lt;&gt;""),G82-F82,"")</f>
        <v>3</v>
      </c>
      <c r="V82" s="2" t="n">
        <f aca="false">IF(AND(G82&lt;&gt;"",H82&lt;&gt;""),H82-G82,"")</f>
        <v>5</v>
      </c>
      <c r="W82" s="2" t="n">
        <f aca="false">IF(AND(H82&lt;&gt;"",I82&lt;&gt;""),I82-H82,"")</f>
        <v>16</v>
      </c>
      <c r="X82" s="2" t="n">
        <f aca="false">IF(AND(I82&lt;&gt;"",J82&lt;&gt;""),J82-I82,"")</f>
        <v>6</v>
      </c>
      <c r="Y82" s="2" t="str">
        <f aca="false">IF(AND(J82&lt;&gt;"",K82&lt;&gt;""),K82-J82,"")</f>
        <v/>
      </c>
      <c r="Z82" s="2" t="str">
        <f aca="false">IF(AND(K82&lt;&gt;"",M82&lt;&gt;""),M82-K82,"")</f>
        <v/>
      </c>
      <c r="AA82" s="2" t="str">
        <f aca="false">IF(AND(M82&lt;&gt;"",N82&lt;&gt;""),N82-M82,"")</f>
        <v/>
      </c>
      <c r="AB82" s="2" t="str">
        <f aca="false">IF(AND(N82&lt;&gt;"",O82&lt;&gt;""),O82-N82,"")</f>
        <v/>
      </c>
    </row>
    <row r="83" customFormat="false" ht="15" hidden="false" customHeight="false" outlineLevel="0" collapsed="false">
      <c r="A83" s="2" t="s">
        <v>221</v>
      </c>
      <c r="B83" s="2" t="s">
        <v>70</v>
      </c>
      <c r="C83" s="2" t="s">
        <v>222</v>
      </c>
      <c r="D83" s="2" t="s">
        <v>30</v>
      </c>
      <c r="E83" s="2" t="s">
        <v>171</v>
      </c>
      <c r="F83" s="3" t="n">
        <v>46078</v>
      </c>
      <c r="G83" s="3" t="n">
        <v>46081</v>
      </c>
      <c r="H83" s="3" t="n">
        <v>46087</v>
      </c>
      <c r="I83" s="2"/>
      <c r="J83" s="2"/>
      <c r="K83" s="2"/>
      <c r="L83" s="2"/>
      <c r="M83" s="2"/>
      <c r="N83" s="2"/>
      <c r="O83" s="2"/>
      <c r="P83" s="2" t="s">
        <v>32</v>
      </c>
      <c r="Q83" s="2" t="s">
        <v>32</v>
      </c>
      <c r="R83" s="2" t="s">
        <v>84</v>
      </c>
      <c r="S83" s="2" t="s">
        <v>95</v>
      </c>
      <c r="U83" s="2" t="n">
        <f aca="false">IF(AND(F83&lt;&gt;"",G83&lt;&gt;""),G83-F83,"")</f>
        <v>3</v>
      </c>
      <c r="V83" s="2" t="n">
        <f aca="false">IF(AND(G83&lt;&gt;"",H83&lt;&gt;""),H83-G83,"")</f>
        <v>6</v>
      </c>
      <c r="W83" s="2" t="str">
        <f aca="false">IF(AND(H83&lt;&gt;"",I83&lt;&gt;""),I83-H83,"")</f>
        <v/>
      </c>
      <c r="X83" s="2" t="str">
        <f aca="false">IF(AND(I83&lt;&gt;"",J83&lt;&gt;""),J83-I83,"")</f>
        <v/>
      </c>
      <c r="Y83" s="2" t="str">
        <f aca="false">IF(AND(J83&lt;&gt;"",K83&lt;&gt;""),K83-J83,"")</f>
        <v/>
      </c>
      <c r="Z83" s="2" t="str">
        <f aca="false">IF(AND(K83&lt;&gt;"",M83&lt;&gt;""),M83-K83,"")</f>
        <v/>
      </c>
      <c r="AA83" s="2" t="str">
        <f aca="false">IF(AND(M83&lt;&gt;"",N83&lt;&gt;""),N83-M83,"")</f>
        <v/>
      </c>
      <c r="AB83" s="2" t="str">
        <f aca="false">IF(AND(N83&lt;&gt;"",O83&lt;&gt;""),O83-N83,"")</f>
        <v/>
      </c>
    </row>
    <row r="84" customFormat="false" ht="15" hidden="false" customHeight="false" outlineLevel="0" collapsed="false">
      <c r="A84" s="2" t="s">
        <v>223</v>
      </c>
      <c r="B84" s="2" t="s">
        <v>224</v>
      </c>
      <c r="C84" s="2" t="s">
        <v>222</v>
      </c>
      <c r="D84" s="2" t="s">
        <v>60</v>
      </c>
      <c r="E84" s="2" t="s">
        <v>171</v>
      </c>
      <c r="F84" s="3" t="n">
        <v>46162</v>
      </c>
      <c r="G84" s="3" t="n">
        <v>46163</v>
      </c>
      <c r="H84" s="3" t="n">
        <v>46169</v>
      </c>
      <c r="I84" s="3" t="n">
        <v>46187</v>
      </c>
      <c r="J84" s="3" t="n">
        <v>46189</v>
      </c>
      <c r="K84" s="3" t="n">
        <v>46193</v>
      </c>
      <c r="L84" s="2" t="s">
        <v>37</v>
      </c>
      <c r="M84" s="3" t="n">
        <v>46196</v>
      </c>
      <c r="N84" s="3" t="n">
        <v>46204</v>
      </c>
      <c r="O84" s="3" t="n">
        <v>46208</v>
      </c>
      <c r="P84" s="2" t="s">
        <v>38</v>
      </c>
      <c r="Q84" s="2" t="s">
        <v>38</v>
      </c>
      <c r="R84" s="2"/>
      <c r="S84" s="2"/>
      <c r="U84" s="2" t="n">
        <f aca="false">IF(AND(F84&lt;&gt;"",G84&lt;&gt;""),G84-F84,"")</f>
        <v>1</v>
      </c>
      <c r="V84" s="2" t="n">
        <f aca="false">IF(AND(G84&lt;&gt;"",H84&lt;&gt;""),H84-G84,"")</f>
        <v>6</v>
      </c>
      <c r="W84" s="2" t="n">
        <f aca="false">IF(AND(H84&lt;&gt;"",I84&lt;&gt;""),I84-H84,"")</f>
        <v>18</v>
      </c>
      <c r="X84" s="2" t="n">
        <f aca="false">IF(AND(I84&lt;&gt;"",J84&lt;&gt;""),J84-I84,"")</f>
        <v>2</v>
      </c>
      <c r="Y84" s="2" t="n">
        <f aca="false">IF(AND(J84&lt;&gt;"",K84&lt;&gt;""),K84-J84,"")</f>
        <v>4</v>
      </c>
      <c r="Z84" s="2" t="n">
        <f aca="false">IF(AND(K84&lt;&gt;"",M84&lt;&gt;""),M84-K84,"")</f>
        <v>3</v>
      </c>
      <c r="AA84" s="2" t="n">
        <f aca="false">IF(AND(M84&lt;&gt;"",N84&lt;&gt;""),N84-M84,"")</f>
        <v>8</v>
      </c>
      <c r="AB84" s="2" t="n">
        <f aca="false">IF(AND(N84&lt;&gt;"",O84&lt;&gt;""),O84-N84,"")</f>
        <v>4</v>
      </c>
    </row>
    <row r="85" customFormat="false" ht="15" hidden="false" customHeight="false" outlineLevel="0" collapsed="false">
      <c r="A85" s="2" t="s">
        <v>225</v>
      </c>
      <c r="B85" s="2" t="s">
        <v>226</v>
      </c>
      <c r="C85" s="2" t="s">
        <v>222</v>
      </c>
      <c r="D85" s="2" t="s">
        <v>67</v>
      </c>
      <c r="E85" s="2" t="s">
        <v>171</v>
      </c>
      <c r="F85" s="3" t="n">
        <v>46196</v>
      </c>
      <c r="G85" s="3" t="n">
        <v>46197</v>
      </c>
      <c r="H85" s="3" t="n">
        <v>46201</v>
      </c>
      <c r="I85" s="2"/>
      <c r="J85" s="2"/>
      <c r="K85" s="2"/>
      <c r="L85" s="2"/>
      <c r="M85" s="2"/>
      <c r="N85" s="2"/>
      <c r="O85" s="2"/>
      <c r="P85" s="2" t="s">
        <v>32</v>
      </c>
      <c r="Q85" s="2" t="s">
        <v>32</v>
      </c>
      <c r="R85" s="2" t="s">
        <v>84</v>
      </c>
      <c r="S85" s="2" t="s">
        <v>85</v>
      </c>
      <c r="U85" s="2" t="n">
        <f aca="false">IF(AND(F85&lt;&gt;"",G85&lt;&gt;""),G85-F85,"")</f>
        <v>1</v>
      </c>
      <c r="V85" s="2" t="n">
        <f aca="false">IF(AND(G85&lt;&gt;"",H85&lt;&gt;""),H85-G85,"")</f>
        <v>4</v>
      </c>
      <c r="W85" s="2" t="str">
        <f aca="false">IF(AND(H85&lt;&gt;"",I85&lt;&gt;""),I85-H85,"")</f>
        <v/>
      </c>
      <c r="X85" s="2" t="str">
        <f aca="false">IF(AND(I85&lt;&gt;"",J85&lt;&gt;""),J85-I85,"")</f>
        <v/>
      </c>
      <c r="Y85" s="2" t="str">
        <f aca="false">IF(AND(J85&lt;&gt;"",K85&lt;&gt;""),K85-J85,"")</f>
        <v/>
      </c>
      <c r="Z85" s="2" t="str">
        <f aca="false">IF(AND(K85&lt;&gt;"",M85&lt;&gt;""),M85-K85,"")</f>
        <v/>
      </c>
      <c r="AA85" s="2" t="str">
        <f aca="false">IF(AND(M85&lt;&gt;"",N85&lt;&gt;""),N85-M85,"")</f>
        <v/>
      </c>
      <c r="AB85" s="2" t="str">
        <f aca="false">IF(AND(N85&lt;&gt;"",O85&lt;&gt;""),O85-N85,"")</f>
        <v/>
      </c>
    </row>
    <row r="86" customFormat="false" ht="15" hidden="false" customHeight="false" outlineLevel="0" collapsed="false">
      <c r="A86" s="2" t="s">
        <v>227</v>
      </c>
      <c r="B86" s="2" t="s">
        <v>228</v>
      </c>
      <c r="C86" s="2" t="s">
        <v>222</v>
      </c>
      <c r="D86" s="2" t="s">
        <v>60</v>
      </c>
      <c r="E86" s="2" t="s">
        <v>171</v>
      </c>
      <c r="F86" s="3" t="n">
        <v>46100</v>
      </c>
      <c r="G86" s="3" t="n">
        <v>46102</v>
      </c>
      <c r="H86" s="3" t="n">
        <v>46107</v>
      </c>
      <c r="I86" s="2"/>
      <c r="J86" s="2"/>
      <c r="K86" s="2"/>
      <c r="L86" s="2"/>
      <c r="M86" s="2"/>
      <c r="N86" s="2"/>
      <c r="O86" s="2"/>
      <c r="P86" s="2" t="s">
        <v>32</v>
      </c>
      <c r="Q86" s="2" t="s">
        <v>32</v>
      </c>
      <c r="R86" s="2" t="s">
        <v>84</v>
      </c>
      <c r="S86" s="2" t="s">
        <v>95</v>
      </c>
      <c r="U86" s="2" t="n">
        <f aca="false">IF(AND(F86&lt;&gt;"",G86&lt;&gt;""),G86-F86,"")</f>
        <v>2</v>
      </c>
      <c r="V86" s="2" t="n">
        <f aca="false">IF(AND(G86&lt;&gt;"",H86&lt;&gt;""),H86-G86,"")</f>
        <v>5</v>
      </c>
      <c r="W86" s="2" t="str">
        <f aca="false">IF(AND(H86&lt;&gt;"",I86&lt;&gt;""),I86-H86,"")</f>
        <v/>
      </c>
      <c r="X86" s="2" t="str">
        <f aca="false">IF(AND(I86&lt;&gt;"",J86&lt;&gt;""),J86-I86,"")</f>
        <v/>
      </c>
      <c r="Y86" s="2" t="str">
        <f aca="false">IF(AND(J86&lt;&gt;"",K86&lt;&gt;""),K86-J86,"")</f>
        <v/>
      </c>
      <c r="Z86" s="2" t="str">
        <f aca="false">IF(AND(K86&lt;&gt;"",M86&lt;&gt;""),M86-K86,"")</f>
        <v/>
      </c>
      <c r="AA86" s="2" t="str">
        <f aca="false">IF(AND(M86&lt;&gt;"",N86&lt;&gt;""),N86-M86,"")</f>
        <v/>
      </c>
      <c r="AB86" s="2" t="str">
        <f aca="false">IF(AND(N86&lt;&gt;"",O86&lt;&gt;""),O86-N86,"")</f>
        <v/>
      </c>
    </row>
    <row r="87" customFormat="false" ht="15" hidden="false" customHeight="false" outlineLevel="0" collapsed="false">
      <c r="A87" s="2" t="s">
        <v>229</v>
      </c>
      <c r="B87" s="2" t="s">
        <v>230</v>
      </c>
      <c r="C87" s="2" t="s">
        <v>222</v>
      </c>
      <c r="D87" s="2" t="s">
        <v>45</v>
      </c>
      <c r="E87" s="2" t="s">
        <v>171</v>
      </c>
      <c r="F87" s="3" t="n">
        <v>46109</v>
      </c>
      <c r="G87" s="3" t="n">
        <v>46113</v>
      </c>
      <c r="H87" s="3" t="n">
        <v>46117</v>
      </c>
      <c r="I87" s="3" t="n">
        <v>46132</v>
      </c>
      <c r="J87" s="3" t="n">
        <v>46133</v>
      </c>
      <c r="K87" s="2"/>
      <c r="L87" s="2"/>
      <c r="M87" s="2"/>
      <c r="N87" s="2"/>
      <c r="O87" s="2"/>
      <c r="P87" s="2" t="s">
        <v>32</v>
      </c>
      <c r="Q87" s="2" t="s">
        <v>32</v>
      </c>
      <c r="R87" s="2" t="s">
        <v>41</v>
      </c>
      <c r="S87" s="2" t="s">
        <v>73</v>
      </c>
      <c r="U87" s="2" t="n">
        <f aca="false">IF(AND(F87&lt;&gt;"",G87&lt;&gt;""),G87-F87,"")</f>
        <v>4</v>
      </c>
      <c r="V87" s="2" t="n">
        <f aca="false">IF(AND(G87&lt;&gt;"",H87&lt;&gt;""),H87-G87,"")</f>
        <v>4</v>
      </c>
      <c r="W87" s="2" t="n">
        <f aca="false">IF(AND(H87&lt;&gt;"",I87&lt;&gt;""),I87-H87,"")</f>
        <v>15</v>
      </c>
      <c r="X87" s="2" t="n">
        <f aca="false">IF(AND(I87&lt;&gt;"",J87&lt;&gt;""),J87-I87,"")</f>
        <v>1</v>
      </c>
      <c r="Y87" s="2" t="str">
        <f aca="false">IF(AND(J87&lt;&gt;"",K87&lt;&gt;""),K87-J87,"")</f>
        <v/>
      </c>
      <c r="Z87" s="2" t="str">
        <f aca="false">IF(AND(K87&lt;&gt;"",M87&lt;&gt;""),M87-K87,"")</f>
        <v/>
      </c>
      <c r="AA87" s="2" t="str">
        <f aca="false">IF(AND(M87&lt;&gt;"",N87&lt;&gt;""),N87-M87,"")</f>
        <v/>
      </c>
      <c r="AB87" s="2" t="str">
        <f aca="false">IF(AND(N87&lt;&gt;"",O87&lt;&gt;""),O87-N87,"")</f>
        <v/>
      </c>
    </row>
    <row r="88" customFormat="false" ht="15" hidden="false" customHeight="false" outlineLevel="0" collapsed="false">
      <c r="A88" s="2" t="s">
        <v>231</v>
      </c>
      <c r="B88" s="2" t="s">
        <v>232</v>
      </c>
      <c r="C88" s="2" t="s">
        <v>222</v>
      </c>
      <c r="D88" s="2" t="s">
        <v>30</v>
      </c>
      <c r="E88" s="2" t="s">
        <v>171</v>
      </c>
      <c r="F88" s="3" t="n">
        <v>46162</v>
      </c>
      <c r="G88" s="3" t="n">
        <v>46166</v>
      </c>
      <c r="H88" s="3" t="n">
        <v>46171</v>
      </c>
      <c r="I88" s="3" t="n">
        <v>46173</v>
      </c>
      <c r="J88" s="3" t="n">
        <v>46177</v>
      </c>
      <c r="K88" s="2"/>
      <c r="L88" s="2"/>
      <c r="M88" s="2"/>
      <c r="N88" s="2"/>
      <c r="O88" s="2"/>
      <c r="P88" s="2" t="s">
        <v>32</v>
      </c>
      <c r="Q88" s="2" t="s">
        <v>32</v>
      </c>
      <c r="R88" s="2" t="s">
        <v>41</v>
      </c>
      <c r="S88" s="2" t="s">
        <v>73</v>
      </c>
      <c r="U88" s="2" t="n">
        <f aca="false">IF(AND(F88&lt;&gt;"",G88&lt;&gt;""),G88-F88,"")</f>
        <v>4</v>
      </c>
      <c r="V88" s="2" t="n">
        <f aca="false">IF(AND(G88&lt;&gt;"",H88&lt;&gt;""),H88-G88,"")</f>
        <v>5</v>
      </c>
      <c r="W88" s="2" t="n">
        <f aca="false">IF(AND(H88&lt;&gt;"",I88&lt;&gt;""),I88-H88,"")</f>
        <v>2</v>
      </c>
      <c r="X88" s="2" t="n">
        <f aca="false">IF(AND(I88&lt;&gt;"",J88&lt;&gt;""),J88-I88,"")</f>
        <v>4</v>
      </c>
      <c r="Y88" s="2" t="str">
        <f aca="false">IF(AND(J88&lt;&gt;"",K88&lt;&gt;""),K88-J88,"")</f>
        <v/>
      </c>
      <c r="Z88" s="2" t="str">
        <f aca="false">IF(AND(K88&lt;&gt;"",M88&lt;&gt;""),M88-K88,"")</f>
        <v/>
      </c>
      <c r="AA88" s="2" t="str">
        <f aca="false">IF(AND(M88&lt;&gt;"",N88&lt;&gt;""),N88-M88,"")</f>
        <v/>
      </c>
      <c r="AB88" s="2" t="str">
        <f aca="false">IF(AND(N88&lt;&gt;"",O88&lt;&gt;""),O88-N88,"")</f>
        <v/>
      </c>
    </row>
    <row r="89" customFormat="false" ht="15" hidden="false" customHeight="false" outlineLevel="0" collapsed="false">
      <c r="A89" s="2" t="s">
        <v>233</v>
      </c>
      <c r="B89" s="2" t="s">
        <v>234</v>
      </c>
      <c r="C89" s="2" t="s">
        <v>222</v>
      </c>
      <c r="D89" s="2" t="s">
        <v>45</v>
      </c>
      <c r="E89" s="2" t="s">
        <v>171</v>
      </c>
      <c r="F89" s="3" t="n">
        <v>46065</v>
      </c>
      <c r="G89" s="3" t="n">
        <v>46067</v>
      </c>
      <c r="H89" s="3" t="n">
        <v>46073</v>
      </c>
      <c r="I89" s="2"/>
      <c r="J89" s="2"/>
      <c r="K89" s="2"/>
      <c r="L89" s="2"/>
      <c r="M89" s="2"/>
      <c r="N89" s="2"/>
      <c r="O89" s="2"/>
      <c r="P89" s="2" t="s">
        <v>32</v>
      </c>
      <c r="Q89" s="2" t="s">
        <v>32</v>
      </c>
      <c r="R89" s="2" t="s">
        <v>84</v>
      </c>
      <c r="S89" s="2" t="s">
        <v>235</v>
      </c>
      <c r="U89" s="2" t="n">
        <f aca="false">IF(AND(F89&lt;&gt;"",G89&lt;&gt;""),G89-F89,"")</f>
        <v>2</v>
      </c>
      <c r="V89" s="2" t="n">
        <f aca="false">IF(AND(G89&lt;&gt;"",H89&lt;&gt;""),H89-G89,"")</f>
        <v>6</v>
      </c>
      <c r="W89" s="2" t="str">
        <f aca="false">IF(AND(H89&lt;&gt;"",I89&lt;&gt;""),I89-H89,"")</f>
        <v/>
      </c>
      <c r="X89" s="2" t="str">
        <f aca="false">IF(AND(I89&lt;&gt;"",J89&lt;&gt;""),J89-I89,"")</f>
        <v/>
      </c>
      <c r="Y89" s="2" t="str">
        <f aca="false">IF(AND(J89&lt;&gt;"",K89&lt;&gt;""),K89-J89,"")</f>
        <v/>
      </c>
      <c r="Z89" s="2" t="str">
        <f aca="false">IF(AND(K89&lt;&gt;"",M89&lt;&gt;""),M89-K89,"")</f>
        <v/>
      </c>
      <c r="AA89" s="2" t="str">
        <f aca="false">IF(AND(M89&lt;&gt;"",N89&lt;&gt;""),N89-M89,"")</f>
        <v/>
      </c>
      <c r="AB89" s="2" t="str">
        <f aca="false">IF(AND(N89&lt;&gt;"",O89&lt;&gt;""),O89-N89,"")</f>
        <v/>
      </c>
    </row>
    <row r="90" customFormat="false" ht="15" hidden="false" customHeight="false" outlineLevel="0" collapsed="false">
      <c r="A90" s="2" t="s">
        <v>236</v>
      </c>
      <c r="B90" s="2" t="s">
        <v>237</v>
      </c>
      <c r="C90" s="2" t="s">
        <v>238</v>
      </c>
      <c r="D90" s="2" t="s">
        <v>30</v>
      </c>
      <c r="E90" s="2" t="s">
        <v>239</v>
      </c>
      <c r="F90" s="3" t="n">
        <v>46084</v>
      </c>
      <c r="G90" s="3" t="n">
        <v>46085</v>
      </c>
      <c r="H90" s="3" t="n">
        <v>46090</v>
      </c>
      <c r="I90" s="3" t="n">
        <v>46103</v>
      </c>
      <c r="J90" s="3" t="n">
        <v>46104</v>
      </c>
      <c r="K90" s="3" t="n">
        <v>46112</v>
      </c>
      <c r="L90" s="2" t="s">
        <v>37</v>
      </c>
      <c r="M90" s="3" t="n">
        <v>46114</v>
      </c>
      <c r="N90" s="3" t="n">
        <v>46124</v>
      </c>
      <c r="O90" s="3" t="n">
        <v>46128</v>
      </c>
      <c r="P90" s="2" t="s">
        <v>38</v>
      </c>
      <c r="Q90" s="2" t="s">
        <v>38</v>
      </c>
      <c r="R90" s="2"/>
      <c r="S90" s="2"/>
      <c r="U90" s="2" t="n">
        <f aca="false">IF(AND(F90&lt;&gt;"",G90&lt;&gt;""),G90-F90,"")</f>
        <v>1</v>
      </c>
      <c r="V90" s="2" t="n">
        <f aca="false">IF(AND(G90&lt;&gt;"",H90&lt;&gt;""),H90-G90,"")</f>
        <v>5</v>
      </c>
      <c r="W90" s="2" t="n">
        <f aca="false">IF(AND(H90&lt;&gt;"",I90&lt;&gt;""),I90-H90,"")</f>
        <v>13</v>
      </c>
      <c r="X90" s="2" t="n">
        <f aca="false">IF(AND(I90&lt;&gt;"",J90&lt;&gt;""),J90-I90,"")</f>
        <v>1</v>
      </c>
      <c r="Y90" s="2" t="n">
        <f aca="false">IF(AND(J90&lt;&gt;"",K90&lt;&gt;""),K90-J90,"")</f>
        <v>8</v>
      </c>
      <c r="Z90" s="2" t="n">
        <f aca="false">IF(AND(K90&lt;&gt;"",M90&lt;&gt;""),M90-K90,"")</f>
        <v>2</v>
      </c>
      <c r="AA90" s="2" t="n">
        <f aca="false">IF(AND(M90&lt;&gt;"",N90&lt;&gt;""),N90-M90,"")</f>
        <v>10</v>
      </c>
      <c r="AB90" s="2" t="n">
        <f aca="false">IF(AND(N90&lt;&gt;"",O90&lt;&gt;""),O90-N90,"")</f>
        <v>4</v>
      </c>
    </row>
    <row r="91" customFormat="false" ht="15" hidden="false" customHeight="false" outlineLevel="0" collapsed="false">
      <c r="A91" s="2" t="s">
        <v>240</v>
      </c>
      <c r="B91" s="2" t="s">
        <v>241</v>
      </c>
      <c r="C91" s="2" t="s">
        <v>238</v>
      </c>
      <c r="D91" s="2" t="s">
        <v>45</v>
      </c>
      <c r="E91" s="2" t="s">
        <v>239</v>
      </c>
      <c r="F91" s="3" t="n">
        <v>46160</v>
      </c>
      <c r="G91" s="3" t="n">
        <v>46163</v>
      </c>
      <c r="H91" s="2"/>
      <c r="I91" s="2"/>
      <c r="J91" s="2"/>
      <c r="K91" s="2"/>
      <c r="L91" s="2"/>
      <c r="M91" s="2"/>
      <c r="N91" s="2"/>
      <c r="O91" s="2"/>
      <c r="P91" s="2" t="s">
        <v>32</v>
      </c>
      <c r="Q91" s="2" t="s">
        <v>32</v>
      </c>
      <c r="R91" s="2" t="s">
        <v>33</v>
      </c>
      <c r="S91" s="2" t="s">
        <v>53</v>
      </c>
      <c r="U91" s="2" t="n">
        <f aca="false">IF(AND(F91&lt;&gt;"",G91&lt;&gt;""),G91-F91,"")</f>
        <v>3</v>
      </c>
      <c r="V91" s="2" t="str">
        <f aca="false">IF(AND(G91&lt;&gt;"",H91&lt;&gt;""),H91-G91,"")</f>
        <v/>
      </c>
      <c r="W91" s="2" t="str">
        <f aca="false">IF(AND(H91&lt;&gt;"",I91&lt;&gt;""),I91-H91,"")</f>
        <v/>
      </c>
      <c r="X91" s="2" t="str">
        <f aca="false">IF(AND(I91&lt;&gt;"",J91&lt;&gt;""),J91-I91,"")</f>
        <v/>
      </c>
      <c r="Y91" s="2" t="str">
        <f aca="false">IF(AND(J91&lt;&gt;"",K91&lt;&gt;""),K91-J91,"")</f>
        <v/>
      </c>
      <c r="Z91" s="2" t="str">
        <f aca="false">IF(AND(K91&lt;&gt;"",M91&lt;&gt;""),M91-K91,"")</f>
        <v/>
      </c>
      <c r="AA91" s="2" t="str">
        <f aca="false">IF(AND(M91&lt;&gt;"",N91&lt;&gt;""),N91-M91,"")</f>
        <v/>
      </c>
      <c r="AB91" s="2" t="str">
        <f aca="false">IF(AND(N91&lt;&gt;"",O91&lt;&gt;""),O91-N91,"")</f>
        <v/>
      </c>
    </row>
    <row r="92" customFormat="false" ht="15" hidden="false" customHeight="false" outlineLevel="0" collapsed="false">
      <c r="A92" s="2" t="s">
        <v>242</v>
      </c>
      <c r="B92" s="2" t="s">
        <v>243</v>
      </c>
      <c r="C92" s="2" t="s">
        <v>238</v>
      </c>
      <c r="D92" s="2" t="s">
        <v>67</v>
      </c>
      <c r="E92" s="2" t="s">
        <v>239</v>
      </c>
      <c r="F92" s="3" t="n">
        <v>46171</v>
      </c>
      <c r="G92" s="3" t="n">
        <v>46174</v>
      </c>
      <c r="H92" s="2"/>
      <c r="I92" s="2"/>
      <c r="J92" s="2"/>
      <c r="K92" s="2"/>
      <c r="L92" s="2"/>
      <c r="M92" s="2"/>
      <c r="N92" s="2"/>
      <c r="O92" s="2"/>
      <c r="P92" s="2" t="s">
        <v>32</v>
      </c>
      <c r="Q92" s="2" t="s">
        <v>32</v>
      </c>
      <c r="R92" s="2" t="s">
        <v>33</v>
      </c>
      <c r="S92" s="2" t="s">
        <v>53</v>
      </c>
      <c r="U92" s="2" t="n">
        <f aca="false">IF(AND(F92&lt;&gt;"",G92&lt;&gt;""),G92-F92,"")</f>
        <v>3</v>
      </c>
      <c r="V92" s="2" t="str">
        <f aca="false">IF(AND(G92&lt;&gt;"",H92&lt;&gt;""),H92-G92,"")</f>
        <v/>
      </c>
      <c r="W92" s="2" t="str">
        <f aca="false">IF(AND(H92&lt;&gt;"",I92&lt;&gt;""),I92-H92,"")</f>
        <v/>
      </c>
      <c r="X92" s="2" t="str">
        <f aca="false">IF(AND(I92&lt;&gt;"",J92&lt;&gt;""),J92-I92,"")</f>
        <v/>
      </c>
      <c r="Y92" s="2" t="str">
        <f aca="false">IF(AND(J92&lt;&gt;"",K92&lt;&gt;""),K92-J92,"")</f>
        <v/>
      </c>
      <c r="Z92" s="2" t="str">
        <f aca="false">IF(AND(K92&lt;&gt;"",M92&lt;&gt;""),M92-K92,"")</f>
        <v/>
      </c>
      <c r="AA92" s="2" t="str">
        <f aca="false">IF(AND(M92&lt;&gt;"",N92&lt;&gt;""),N92-M92,"")</f>
        <v/>
      </c>
      <c r="AB92" s="2" t="str">
        <f aca="false">IF(AND(N92&lt;&gt;"",O92&lt;&gt;""),O92-N92,"")</f>
        <v/>
      </c>
    </row>
    <row r="93" customFormat="false" ht="15" hidden="false" customHeight="false" outlineLevel="0" collapsed="false">
      <c r="A93" s="2" t="s">
        <v>244</v>
      </c>
      <c r="B93" s="2" t="s">
        <v>245</v>
      </c>
      <c r="C93" s="2" t="s">
        <v>238</v>
      </c>
      <c r="D93" s="2" t="s">
        <v>45</v>
      </c>
      <c r="E93" s="2" t="s">
        <v>239</v>
      </c>
      <c r="F93" s="3" t="n">
        <v>46188</v>
      </c>
      <c r="G93" s="3" t="n">
        <v>46189</v>
      </c>
      <c r="H93" s="3" t="n">
        <v>46193</v>
      </c>
      <c r="I93" s="3" t="n">
        <v>46205</v>
      </c>
      <c r="J93" s="3" t="n">
        <v>46210</v>
      </c>
      <c r="K93" s="3" t="n">
        <v>46217</v>
      </c>
      <c r="L93" s="2" t="s">
        <v>37</v>
      </c>
      <c r="M93" s="3" t="n">
        <v>46227</v>
      </c>
      <c r="N93" s="3" t="n">
        <v>46235</v>
      </c>
      <c r="O93" s="3" t="n">
        <v>46238</v>
      </c>
      <c r="P93" s="2" t="s">
        <v>38</v>
      </c>
      <c r="Q93" s="2" t="s">
        <v>38</v>
      </c>
      <c r="R93" s="2"/>
      <c r="S93" s="2"/>
      <c r="U93" s="2" t="n">
        <f aca="false">IF(AND(F93&lt;&gt;"",G93&lt;&gt;""),G93-F93,"")</f>
        <v>1</v>
      </c>
      <c r="V93" s="2" t="n">
        <f aca="false">IF(AND(G93&lt;&gt;"",H93&lt;&gt;""),H93-G93,"")</f>
        <v>4</v>
      </c>
      <c r="W93" s="2" t="n">
        <f aca="false">IF(AND(H93&lt;&gt;"",I93&lt;&gt;""),I93-H93,"")</f>
        <v>12</v>
      </c>
      <c r="X93" s="2" t="n">
        <f aca="false">IF(AND(I93&lt;&gt;"",J93&lt;&gt;""),J93-I93,"")</f>
        <v>5</v>
      </c>
      <c r="Y93" s="2" t="n">
        <f aca="false">IF(AND(J93&lt;&gt;"",K93&lt;&gt;""),K93-J93,"")</f>
        <v>7</v>
      </c>
      <c r="Z93" s="2" t="n">
        <f aca="false">IF(AND(K93&lt;&gt;"",M93&lt;&gt;""),M93-K93,"")</f>
        <v>10</v>
      </c>
      <c r="AA93" s="2" t="n">
        <f aca="false">IF(AND(M93&lt;&gt;"",N93&lt;&gt;""),N93-M93,"")</f>
        <v>8</v>
      </c>
      <c r="AB93" s="2" t="n">
        <f aca="false">IF(AND(N93&lt;&gt;"",O93&lt;&gt;""),O93-N93,"")</f>
        <v>3</v>
      </c>
    </row>
    <row r="94" customFormat="false" ht="15" hidden="false" customHeight="false" outlineLevel="0" collapsed="false">
      <c r="A94" s="2" t="s">
        <v>246</v>
      </c>
      <c r="B94" s="2" t="s">
        <v>247</v>
      </c>
      <c r="C94" s="2" t="s">
        <v>238</v>
      </c>
      <c r="D94" s="2" t="s">
        <v>30</v>
      </c>
      <c r="E94" s="2" t="s">
        <v>239</v>
      </c>
      <c r="F94" s="3" t="n">
        <v>46104</v>
      </c>
      <c r="G94" s="3" t="n">
        <v>46106</v>
      </c>
      <c r="H94" s="3" t="n">
        <v>46108</v>
      </c>
      <c r="I94" s="3" t="n">
        <v>46113</v>
      </c>
      <c r="J94" s="3" t="n">
        <v>46118</v>
      </c>
      <c r="K94" s="3" t="n">
        <v>46124</v>
      </c>
      <c r="L94" s="2" t="s">
        <v>37</v>
      </c>
      <c r="M94" s="3" t="n">
        <v>46131</v>
      </c>
      <c r="N94" s="3" t="n">
        <v>46139</v>
      </c>
      <c r="O94" s="3" t="n">
        <v>46141</v>
      </c>
      <c r="P94" s="2" t="s">
        <v>38</v>
      </c>
      <c r="Q94" s="2" t="s">
        <v>38</v>
      </c>
      <c r="R94" s="2"/>
      <c r="S94" s="2"/>
      <c r="U94" s="2" t="n">
        <f aca="false">IF(AND(F94&lt;&gt;"",G94&lt;&gt;""),G94-F94,"")</f>
        <v>2</v>
      </c>
      <c r="V94" s="2" t="n">
        <f aca="false">IF(AND(G94&lt;&gt;"",H94&lt;&gt;""),H94-G94,"")</f>
        <v>2</v>
      </c>
      <c r="W94" s="2" t="n">
        <f aca="false">IF(AND(H94&lt;&gt;"",I94&lt;&gt;""),I94-H94,"")</f>
        <v>5</v>
      </c>
      <c r="X94" s="2" t="n">
        <f aca="false">IF(AND(I94&lt;&gt;"",J94&lt;&gt;""),J94-I94,"")</f>
        <v>5</v>
      </c>
      <c r="Y94" s="2" t="n">
        <f aca="false">IF(AND(J94&lt;&gt;"",K94&lt;&gt;""),K94-J94,"")</f>
        <v>6</v>
      </c>
      <c r="Z94" s="2" t="n">
        <f aca="false">IF(AND(K94&lt;&gt;"",M94&lt;&gt;""),M94-K94,"")</f>
        <v>7</v>
      </c>
      <c r="AA94" s="2" t="n">
        <f aca="false">IF(AND(M94&lt;&gt;"",N94&lt;&gt;""),N94-M94,"")</f>
        <v>8</v>
      </c>
      <c r="AB94" s="2" t="n">
        <f aca="false">IF(AND(N94&lt;&gt;"",O94&lt;&gt;""),O94-N94,"")</f>
        <v>2</v>
      </c>
    </row>
    <row r="95" customFormat="false" ht="15" hidden="false" customHeight="false" outlineLevel="0" collapsed="false">
      <c r="A95" s="2" t="s">
        <v>248</v>
      </c>
      <c r="B95" s="2" t="s">
        <v>212</v>
      </c>
      <c r="C95" s="2" t="s">
        <v>238</v>
      </c>
      <c r="D95" s="2" t="s">
        <v>45</v>
      </c>
      <c r="E95" s="2" t="s">
        <v>239</v>
      </c>
      <c r="F95" s="3" t="n">
        <v>46124</v>
      </c>
      <c r="G95" s="3" t="n">
        <v>46129</v>
      </c>
      <c r="H95" s="2"/>
      <c r="I95" s="2"/>
      <c r="J95" s="2"/>
      <c r="K95" s="2"/>
      <c r="L95" s="2"/>
      <c r="M95" s="2"/>
      <c r="N95" s="2"/>
      <c r="O95" s="2"/>
      <c r="P95" s="2" t="s">
        <v>32</v>
      </c>
      <c r="Q95" s="2" t="s">
        <v>32</v>
      </c>
      <c r="R95" s="2" t="s">
        <v>33</v>
      </c>
      <c r="S95" s="2" t="s">
        <v>68</v>
      </c>
      <c r="U95" s="2" t="n">
        <f aca="false">IF(AND(F95&lt;&gt;"",G95&lt;&gt;""),G95-F95,"")</f>
        <v>5</v>
      </c>
      <c r="V95" s="2" t="str">
        <f aca="false">IF(AND(G95&lt;&gt;"",H95&lt;&gt;""),H95-G95,"")</f>
        <v/>
      </c>
      <c r="W95" s="2" t="str">
        <f aca="false">IF(AND(H95&lt;&gt;"",I95&lt;&gt;""),I95-H95,"")</f>
        <v/>
      </c>
      <c r="X95" s="2" t="str">
        <f aca="false">IF(AND(I95&lt;&gt;"",J95&lt;&gt;""),J95-I95,"")</f>
        <v/>
      </c>
      <c r="Y95" s="2" t="str">
        <f aca="false">IF(AND(J95&lt;&gt;"",K95&lt;&gt;""),K95-J95,"")</f>
        <v/>
      </c>
      <c r="Z95" s="2" t="str">
        <f aca="false">IF(AND(K95&lt;&gt;"",M95&lt;&gt;""),M95-K95,"")</f>
        <v/>
      </c>
      <c r="AA95" s="2" t="str">
        <f aca="false">IF(AND(M95&lt;&gt;"",N95&lt;&gt;""),N95-M95,"")</f>
        <v/>
      </c>
      <c r="AB95" s="2" t="str">
        <f aca="false">IF(AND(N95&lt;&gt;"",O95&lt;&gt;""),O95-N95,"")</f>
        <v/>
      </c>
    </row>
    <row r="96" customFormat="false" ht="15" hidden="false" customHeight="false" outlineLevel="0" collapsed="false">
      <c r="A96" s="2" t="s">
        <v>249</v>
      </c>
      <c r="B96" s="2" t="s">
        <v>250</v>
      </c>
      <c r="C96" s="2" t="s">
        <v>238</v>
      </c>
      <c r="D96" s="2" t="s">
        <v>60</v>
      </c>
      <c r="E96" s="2" t="s">
        <v>239</v>
      </c>
      <c r="F96" s="3" t="n">
        <v>46063</v>
      </c>
      <c r="G96" s="3" t="n">
        <v>46064</v>
      </c>
      <c r="H96" s="3" t="n">
        <v>46068</v>
      </c>
      <c r="I96" s="2"/>
      <c r="J96" s="2"/>
      <c r="K96" s="2"/>
      <c r="L96" s="2"/>
      <c r="M96" s="2"/>
      <c r="N96" s="2"/>
      <c r="O96" s="2"/>
      <c r="P96" s="2" t="s">
        <v>32</v>
      </c>
      <c r="Q96" s="2" t="s">
        <v>32</v>
      </c>
      <c r="R96" s="2" t="s">
        <v>84</v>
      </c>
      <c r="S96" s="2" t="s">
        <v>235</v>
      </c>
      <c r="U96" s="2" t="n">
        <f aca="false">IF(AND(F96&lt;&gt;"",G96&lt;&gt;""),G96-F96,"")</f>
        <v>1</v>
      </c>
      <c r="V96" s="2" t="n">
        <f aca="false">IF(AND(G96&lt;&gt;"",H96&lt;&gt;""),H96-G96,"")</f>
        <v>4</v>
      </c>
      <c r="W96" s="2" t="str">
        <f aca="false">IF(AND(H96&lt;&gt;"",I96&lt;&gt;""),I96-H96,"")</f>
        <v/>
      </c>
      <c r="X96" s="2" t="str">
        <f aca="false">IF(AND(I96&lt;&gt;"",J96&lt;&gt;""),J96-I96,"")</f>
        <v/>
      </c>
      <c r="Y96" s="2" t="str">
        <f aca="false">IF(AND(J96&lt;&gt;"",K96&lt;&gt;""),K96-J96,"")</f>
        <v/>
      </c>
      <c r="Z96" s="2" t="str">
        <f aca="false">IF(AND(K96&lt;&gt;"",M96&lt;&gt;""),M96-K96,"")</f>
        <v/>
      </c>
      <c r="AA96" s="2" t="str">
        <f aca="false">IF(AND(M96&lt;&gt;"",N96&lt;&gt;""),N96-M96,"")</f>
        <v/>
      </c>
      <c r="AB96" s="2" t="str">
        <f aca="false">IF(AND(N96&lt;&gt;"",O96&lt;&gt;""),O96-N96,"")</f>
        <v/>
      </c>
    </row>
    <row r="97" customFormat="false" ht="15" hidden="false" customHeight="false" outlineLevel="0" collapsed="false">
      <c r="A97" s="2" t="s">
        <v>251</v>
      </c>
      <c r="B97" s="2" t="s">
        <v>252</v>
      </c>
      <c r="C97" s="2" t="s">
        <v>238</v>
      </c>
      <c r="D97" s="2" t="s">
        <v>60</v>
      </c>
      <c r="E97" s="2" t="s">
        <v>239</v>
      </c>
      <c r="F97" s="3" t="n">
        <v>46195</v>
      </c>
      <c r="G97" s="3" t="n">
        <v>46196</v>
      </c>
      <c r="H97" s="3" t="n">
        <v>46202</v>
      </c>
      <c r="I97" s="3" t="n">
        <v>46219</v>
      </c>
      <c r="J97" s="3" t="n">
        <v>46220</v>
      </c>
      <c r="K97" s="3" t="n">
        <v>46225</v>
      </c>
      <c r="L97" s="2" t="s">
        <v>37</v>
      </c>
      <c r="M97" s="3" t="n">
        <v>46228</v>
      </c>
      <c r="N97" s="3" t="n">
        <v>46233</v>
      </c>
      <c r="O97" s="2"/>
      <c r="P97" s="2" t="s">
        <v>32</v>
      </c>
      <c r="Q97" s="2" t="s">
        <v>32</v>
      </c>
      <c r="R97" s="2" t="s">
        <v>111</v>
      </c>
      <c r="S97" s="2" t="s">
        <v>112</v>
      </c>
      <c r="U97" s="2" t="n">
        <f aca="false">IF(AND(F97&lt;&gt;"",G97&lt;&gt;""),G97-F97,"")</f>
        <v>1</v>
      </c>
      <c r="V97" s="2" t="n">
        <f aca="false">IF(AND(G97&lt;&gt;"",H97&lt;&gt;""),H97-G97,"")</f>
        <v>6</v>
      </c>
      <c r="W97" s="2" t="n">
        <f aca="false">IF(AND(H97&lt;&gt;"",I97&lt;&gt;""),I97-H97,"")</f>
        <v>17</v>
      </c>
      <c r="X97" s="2" t="n">
        <f aca="false">IF(AND(I97&lt;&gt;"",J97&lt;&gt;""),J97-I97,"")</f>
        <v>1</v>
      </c>
      <c r="Y97" s="2" t="n">
        <f aca="false">IF(AND(J97&lt;&gt;"",K97&lt;&gt;""),K97-J97,"")</f>
        <v>5</v>
      </c>
      <c r="Z97" s="2" t="n">
        <f aca="false">IF(AND(K97&lt;&gt;"",M97&lt;&gt;""),M97-K97,"")</f>
        <v>3</v>
      </c>
      <c r="AA97" s="2" t="n">
        <f aca="false">IF(AND(M97&lt;&gt;"",N97&lt;&gt;""),N97-M97,"")</f>
        <v>5</v>
      </c>
      <c r="AB97" s="2" t="str">
        <f aca="false">IF(AND(N97&lt;&gt;"",O97&lt;&gt;""),O97-N97,"")</f>
        <v/>
      </c>
    </row>
    <row r="98" customFormat="false" ht="15" hidden="false" customHeight="false" outlineLevel="0" collapsed="false">
      <c r="A98" s="2" t="s">
        <v>253</v>
      </c>
      <c r="B98" s="2" t="s">
        <v>157</v>
      </c>
      <c r="C98" s="2" t="s">
        <v>238</v>
      </c>
      <c r="D98" s="2" t="s">
        <v>60</v>
      </c>
      <c r="E98" s="2" t="s">
        <v>239</v>
      </c>
      <c r="F98" s="3" t="n">
        <v>46094</v>
      </c>
      <c r="G98" s="3" t="n">
        <v>46097</v>
      </c>
      <c r="H98" s="3" t="n">
        <v>46101</v>
      </c>
      <c r="I98" s="3" t="n">
        <v>46103</v>
      </c>
      <c r="J98" s="3" t="n">
        <v>46104</v>
      </c>
      <c r="K98" s="3" t="n">
        <v>46111</v>
      </c>
      <c r="L98" s="2" t="s">
        <v>37</v>
      </c>
      <c r="M98" s="3" t="n">
        <v>46119</v>
      </c>
      <c r="N98" s="3" t="n">
        <v>46124</v>
      </c>
      <c r="O98" s="3" t="n">
        <v>46127</v>
      </c>
      <c r="P98" s="2" t="s">
        <v>38</v>
      </c>
      <c r="Q98" s="2" t="s">
        <v>38</v>
      </c>
      <c r="R98" s="2"/>
      <c r="S98" s="2"/>
      <c r="U98" s="2" t="n">
        <f aca="false">IF(AND(F98&lt;&gt;"",G98&lt;&gt;""),G98-F98,"")</f>
        <v>3</v>
      </c>
      <c r="V98" s="2" t="n">
        <f aca="false">IF(AND(G98&lt;&gt;"",H98&lt;&gt;""),H98-G98,"")</f>
        <v>4</v>
      </c>
      <c r="W98" s="2" t="n">
        <f aca="false">IF(AND(H98&lt;&gt;"",I98&lt;&gt;""),I98-H98,"")</f>
        <v>2</v>
      </c>
      <c r="X98" s="2" t="n">
        <f aca="false">IF(AND(I98&lt;&gt;"",J98&lt;&gt;""),J98-I98,"")</f>
        <v>1</v>
      </c>
      <c r="Y98" s="2" t="n">
        <f aca="false">IF(AND(J98&lt;&gt;"",K98&lt;&gt;""),K98-J98,"")</f>
        <v>7</v>
      </c>
      <c r="Z98" s="2" t="n">
        <f aca="false">IF(AND(K98&lt;&gt;"",M98&lt;&gt;""),M98-K98,"")</f>
        <v>8</v>
      </c>
      <c r="AA98" s="2" t="n">
        <f aca="false">IF(AND(M98&lt;&gt;"",N98&lt;&gt;""),N98-M98,"")</f>
        <v>5</v>
      </c>
      <c r="AB98" s="2" t="n">
        <f aca="false">IF(AND(N98&lt;&gt;"",O98&lt;&gt;""),O98-N98,"")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2</v>
      </c>
      <c r="B1" s="1" t="s">
        <v>254</v>
      </c>
      <c r="C1" s="1" t="s">
        <v>255</v>
      </c>
      <c r="D1" s="1" t="s">
        <v>4</v>
      </c>
      <c r="E1" s="1" t="s">
        <v>256</v>
      </c>
      <c r="F1" s="1" t="s">
        <v>38</v>
      </c>
      <c r="G1" s="1" t="s">
        <v>257</v>
      </c>
    </row>
    <row r="2" customFormat="false" ht="15" hidden="false" customHeight="false" outlineLevel="0" collapsed="false">
      <c r="A2" s="2" t="s">
        <v>29</v>
      </c>
      <c r="B2" s="2" t="s">
        <v>258</v>
      </c>
      <c r="C2" s="2" t="s">
        <v>259</v>
      </c>
      <c r="D2" s="2" t="s">
        <v>31</v>
      </c>
      <c r="E2" s="2" t="n">
        <f aca="false">COUNTIF(Candidates!$C$2:$C$98,A2)</f>
        <v>6</v>
      </c>
      <c r="F2" s="2" t="n">
        <f aca="false">COUNTIFS(Candidates!$C$2:$C$98,A2,Candidates!$Q$2:$Q$98,"Hired")</f>
        <v>2</v>
      </c>
      <c r="G2" s="2" t="s">
        <v>260</v>
      </c>
    </row>
    <row r="3" customFormat="false" ht="15" hidden="false" customHeight="false" outlineLevel="0" collapsed="false">
      <c r="A3" s="2" t="s">
        <v>56</v>
      </c>
      <c r="B3" s="2" t="s">
        <v>261</v>
      </c>
      <c r="C3" s="2" t="s">
        <v>259</v>
      </c>
      <c r="D3" s="2" t="s">
        <v>57</v>
      </c>
      <c r="E3" s="2" t="n">
        <f aca="false">COUNTIF(Candidates!$C$2:$C$98,A3)</f>
        <v>14</v>
      </c>
      <c r="F3" s="2" t="n">
        <f aca="false">COUNTIFS(Candidates!$C$2:$C$98,A3,Candidates!$Q$2:$Q$98,"Hired")</f>
        <v>7</v>
      </c>
      <c r="G3" s="2" t="s">
        <v>260</v>
      </c>
    </row>
    <row r="4" customFormat="false" ht="15" hidden="false" customHeight="false" outlineLevel="0" collapsed="false">
      <c r="A4" s="2" t="s">
        <v>94</v>
      </c>
      <c r="B4" s="2" t="s">
        <v>262</v>
      </c>
      <c r="C4" s="2" t="s">
        <v>263</v>
      </c>
      <c r="D4" s="2" t="s">
        <v>31</v>
      </c>
      <c r="E4" s="2" t="n">
        <f aca="false">COUNTIF(Candidates!$C$2:$C$98,A4)</f>
        <v>9</v>
      </c>
      <c r="F4" s="2" t="n">
        <f aca="false">COUNTIFS(Candidates!$C$2:$C$98,A4,Candidates!$Q$2:$Q$98,"Hired")</f>
        <v>2</v>
      </c>
      <c r="G4" s="2" t="s">
        <v>260</v>
      </c>
    </row>
    <row r="5" customFormat="false" ht="15" hidden="false" customHeight="false" outlineLevel="0" collapsed="false">
      <c r="A5" s="2" t="s">
        <v>117</v>
      </c>
      <c r="B5" s="2" t="s">
        <v>264</v>
      </c>
      <c r="C5" s="2" t="s">
        <v>259</v>
      </c>
      <c r="D5" s="2" t="s">
        <v>57</v>
      </c>
      <c r="E5" s="2" t="n">
        <f aca="false">COUNTIF(Candidates!$C$2:$C$98,A5)</f>
        <v>10</v>
      </c>
      <c r="F5" s="2" t="n">
        <f aca="false">COUNTIFS(Candidates!$C$2:$C$98,A5,Candidates!$Q$2:$Q$98,"Hired")</f>
        <v>5</v>
      </c>
      <c r="G5" s="2" t="s">
        <v>260</v>
      </c>
    </row>
    <row r="6" customFormat="false" ht="15" hidden="false" customHeight="false" outlineLevel="0" collapsed="false">
      <c r="A6" s="2" t="s">
        <v>137</v>
      </c>
      <c r="B6" s="2" t="s">
        <v>265</v>
      </c>
      <c r="C6" s="2" t="s">
        <v>266</v>
      </c>
      <c r="D6" s="2" t="s">
        <v>31</v>
      </c>
      <c r="E6" s="2" t="n">
        <f aca="false">COUNTIF(Candidates!$C$2:$C$98,A6)</f>
        <v>6</v>
      </c>
      <c r="F6" s="2" t="n">
        <f aca="false">COUNTIFS(Candidates!$C$2:$C$98,A6,Candidates!$Q$2:$Q$98,"Hired")</f>
        <v>3</v>
      </c>
      <c r="G6" s="2" t="s">
        <v>260</v>
      </c>
    </row>
    <row r="7" customFormat="false" ht="15" hidden="false" customHeight="false" outlineLevel="0" collapsed="false">
      <c r="A7" s="2" t="s">
        <v>149</v>
      </c>
      <c r="B7" s="2" t="s">
        <v>267</v>
      </c>
      <c r="C7" s="2" t="s">
        <v>263</v>
      </c>
      <c r="D7" s="2" t="s">
        <v>57</v>
      </c>
      <c r="E7" s="2" t="n">
        <f aca="false">COUNTIF(Candidates!$C$2:$C$98,A7)</f>
        <v>10</v>
      </c>
      <c r="F7" s="2" t="n">
        <f aca="false">COUNTIFS(Candidates!$C$2:$C$98,A7,Candidates!$Q$2:$Q$98,"Hired")</f>
        <v>4</v>
      </c>
      <c r="G7" s="2" t="s">
        <v>260</v>
      </c>
    </row>
    <row r="8" customFormat="false" ht="15" hidden="false" customHeight="false" outlineLevel="0" collapsed="false">
      <c r="A8" s="2" t="s">
        <v>170</v>
      </c>
      <c r="B8" s="2" t="s">
        <v>268</v>
      </c>
      <c r="C8" s="2" t="s">
        <v>269</v>
      </c>
      <c r="D8" s="2" t="s">
        <v>171</v>
      </c>
      <c r="E8" s="2" t="n">
        <f aca="false">COUNTIF(Candidates!$C$2:$C$98,A8)</f>
        <v>14</v>
      </c>
      <c r="F8" s="2" t="n">
        <f aca="false">COUNTIFS(Candidates!$C$2:$C$98,A8,Candidates!$Q$2:$Q$98,"Hired")</f>
        <v>7</v>
      </c>
      <c r="G8" s="2" t="s">
        <v>260</v>
      </c>
    </row>
    <row r="9" customFormat="false" ht="15" hidden="false" customHeight="false" outlineLevel="0" collapsed="false">
      <c r="A9" s="2" t="s">
        <v>200</v>
      </c>
      <c r="B9" s="2" t="s">
        <v>270</v>
      </c>
      <c r="C9" s="2" t="s">
        <v>271</v>
      </c>
      <c r="D9" s="2" t="s">
        <v>57</v>
      </c>
      <c r="E9" s="2" t="n">
        <f aca="false">COUNTIF(Candidates!$C$2:$C$98,A9)</f>
        <v>12</v>
      </c>
      <c r="F9" s="2" t="n">
        <f aca="false">COUNTIFS(Candidates!$C$2:$C$98,A9,Candidates!$Q$2:$Q$98,"Hired")</f>
        <v>4</v>
      </c>
      <c r="G9" s="2" t="s">
        <v>260</v>
      </c>
    </row>
    <row r="10" customFormat="false" ht="15" hidden="false" customHeight="false" outlineLevel="0" collapsed="false">
      <c r="A10" s="2" t="s">
        <v>222</v>
      </c>
      <c r="B10" s="2" t="s">
        <v>272</v>
      </c>
      <c r="C10" s="2" t="s">
        <v>269</v>
      </c>
      <c r="D10" s="2" t="s">
        <v>171</v>
      </c>
      <c r="E10" s="2" t="n">
        <f aca="false">COUNTIF(Candidates!$C$2:$C$98,A10)</f>
        <v>7</v>
      </c>
      <c r="F10" s="2" t="n">
        <f aca="false">COUNTIFS(Candidates!$C$2:$C$98,A10,Candidates!$Q$2:$Q$98,"Hired")</f>
        <v>1</v>
      </c>
      <c r="G10" s="2" t="s">
        <v>260</v>
      </c>
    </row>
    <row r="11" customFormat="false" ht="15" hidden="false" customHeight="false" outlineLevel="0" collapsed="false">
      <c r="A11" s="2" t="s">
        <v>238</v>
      </c>
      <c r="B11" s="2" t="s">
        <v>273</v>
      </c>
      <c r="C11" s="2" t="s">
        <v>259</v>
      </c>
      <c r="D11" s="2" t="s">
        <v>239</v>
      </c>
      <c r="E11" s="2" t="n">
        <f aca="false">COUNTIF(Candidates!$C$2:$C$98,A11)</f>
        <v>9</v>
      </c>
      <c r="F11" s="2" t="n">
        <f aca="false">COUNTIFS(Candidates!$C$2:$C$98,A11,Candidates!$Q$2:$Q$98,"Hired")</f>
        <v>4</v>
      </c>
      <c r="G11" s="2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34"/>
  </cols>
  <sheetData>
    <row r="2" customFormat="false" ht="17.35" hidden="false" customHeight="false" outlineLevel="0" collapsed="false">
      <c r="B2" s="4" t="s">
        <v>274</v>
      </c>
    </row>
    <row r="3" customFormat="false" ht="15" hidden="false" customHeight="false" outlineLevel="0" collapsed="false">
      <c r="B3" s="5" t="s">
        <v>275</v>
      </c>
    </row>
    <row r="5" customFormat="false" ht="15" hidden="false" customHeight="false" outlineLevel="0" collapsed="false">
      <c r="B5" s="6" t="s">
        <v>276</v>
      </c>
    </row>
    <row r="6" customFormat="false" ht="15" hidden="false" customHeight="false" outlineLevel="0" collapsed="false">
      <c r="B6" s="7" t="s">
        <v>277</v>
      </c>
      <c r="D6" s="8" t="n">
        <f aca="false">SUMPRODUCT((Candidates!$Q$2:$Q$98="Hired")*(Candidates!$O$2:$O$98&lt;&gt;"")*(Candidates!$O$2:$O$98-Candidates!$F$2:$F$98))/SUMPRODUCT((Candidates!$Q$2:$Q$98="Hired")*(Candidates!$O$2:$O$98&lt;&gt;""))</f>
        <v>40.9230769230769</v>
      </c>
    </row>
    <row r="8" customFormat="false" ht="15" hidden="false" customHeight="false" outlineLevel="0" collapsed="false">
      <c r="B8" s="6" t="s">
        <v>278</v>
      </c>
    </row>
    <row r="9" customFormat="false" ht="15" hidden="false" customHeight="false" outlineLevel="0" collapsed="false">
      <c r="B9" s="7" t="s">
        <v>279</v>
      </c>
      <c r="D9" s="8" t="n">
        <f aca="false">COUNTA(Candidates!$C$2:$C$98)/COUNTA('Job Openings'!$A$2:$A$11)</f>
        <v>9.7</v>
      </c>
      <c r="E9" s="5" t="s">
        <v>280</v>
      </c>
    </row>
    <row r="11" customFormat="false" ht="15" hidden="false" customHeight="false" outlineLevel="0" collapsed="false">
      <c r="B11" s="6" t="s">
        <v>281</v>
      </c>
    </row>
    <row r="12" customFormat="false" ht="15" hidden="false" customHeight="false" outlineLevel="0" collapsed="false">
      <c r="B12" s="7" t="s">
        <v>282</v>
      </c>
      <c r="D12" s="9" t="n">
        <f aca="false">COUNTIF(Candidates!$J$2:$J$98,"&lt;&gt;")</f>
        <v>66</v>
      </c>
    </row>
    <row r="13" customFormat="false" ht="15" hidden="false" customHeight="false" outlineLevel="0" collapsed="false">
      <c r="B13" s="7" t="s">
        <v>283</v>
      </c>
      <c r="D13" s="9" t="n">
        <f aca="false">COUNTIF(Candidates!$K$2:$K$98,"&lt;&gt;")</f>
        <v>46</v>
      </c>
    </row>
    <row r="14" customFormat="false" ht="15" hidden="false" customHeight="false" outlineLevel="0" collapsed="false">
      <c r="B14" s="7" t="s">
        <v>284</v>
      </c>
      <c r="D14" s="10" t="n">
        <f aca="false">D13/D12</f>
        <v>0.696969696969697</v>
      </c>
      <c r="E14" s="5" t="s">
        <v>285</v>
      </c>
    </row>
    <row r="16" customFormat="false" ht="15" hidden="false" customHeight="false" outlineLevel="0" collapsed="false">
      <c r="B16" s="6" t="s">
        <v>286</v>
      </c>
    </row>
    <row r="17" customFormat="false" ht="15" hidden="false" customHeight="false" outlineLevel="0" collapsed="false">
      <c r="B17" s="7" t="s">
        <v>287</v>
      </c>
      <c r="D17" s="9" t="n">
        <f aca="false">COUNTIF(Candidates!$K$2:$K$98,"&lt;&gt;")</f>
        <v>46</v>
      </c>
    </row>
    <row r="18" customFormat="false" ht="15" hidden="false" customHeight="false" outlineLevel="0" collapsed="false">
      <c r="B18" s="7" t="s">
        <v>288</v>
      </c>
      <c r="D18" s="9" t="n">
        <f aca="false">COUNTIF(Candidates!$L$2:$L$98,"Accepted")</f>
        <v>41</v>
      </c>
    </row>
    <row r="19" customFormat="false" ht="15" hidden="false" customHeight="false" outlineLevel="0" collapsed="false">
      <c r="B19" s="7" t="s">
        <v>289</v>
      </c>
      <c r="D19" s="10" t="n">
        <f aca="false">D18/D17</f>
        <v>0.891304347826087</v>
      </c>
    </row>
    <row r="21" customFormat="false" ht="15" hidden="false" customHeight="false" outlineLevel="0" collapsed="false">
      <c r="B21" s="6" t="s">
        <v>290</v>
      </c>
    </row>
    <row r="22" customFormat="false" ht="15" hidden="false" customHeight="false" outlineLevel="0" collapsed="false">
      <c r="B22" s="7" t="s">
        <v>3</v>
      </c>
      <c r="C22" s="7" t="s">
        <v>291</v>
      </c>
      <c r="D22" s="7" t="s">
        <v>38</v>
      </c>
      <c r="E22" s="7" t="s">
        <v>292</v>
      </c>
    </row>
    <row r="23" customFormat="false" ht="15" hidden="false" customHeight="false" outlineLevel="0" collapsed="false">
      <c r="B23" s="11" t="s">
        <v>67</v>
      </c>
      <c r="C23" s="11" t="n">
        <f aca="false">COUNTIF(Candidates!$D$2:$D$98,B23)</f>
        <v>14</v>
      </c>
      <c r="D23" s="11" t="n">
        <f aca="false">COUNTIFS(Candidates!$D$2:$D$98,B23,Candidates!$Q$2:$Q$98,"Hired")</f>
        <v>3</v>
      </c>
      <c r="E23" s="12" t="n">
        <f aca="false">D23/C23</f>
        <v>0.214285714285714</v>
      </c>
    </row>
    <row r="24" customFormat="false" ht="15" hidden="false" customHeight="false" outlineLevel="0" collapsed="false">
      <c r="B24" s="11" t="s">
        <v>45</v>
      </c>
      <c r="C24" s="11" t="n">
        <f aca="false">COUNTIF(Candidates!$D$2:$D$98,B24)</f>
        <v>33</v>
      </c>
      <c r="D24" s="11" t="n">
        <f aca="false">COUNTIFS(Candidates!$D$2:$D$98,B24,Candidates!$Q$2:$Q$98,"Hired")</f>
        <v>13</v>
      </c>
      <c r="E24" s="12" t="n">
        <f aca="false">D24/C24</f>
        <v>0.393939393939394</v>
      </c>
    </row>
    <row r="25" customFormat="false" ht="15" hidden="false" customHeight="false" outlineLevel="0" collapsed="false">
      <c r="B25" s="11" t="s">
        <v>30</v>
      </c>
      <c r="C25" s="11" t="n">
        <f aca="false">COUNTIF(Candidates!$D$2:$D$98,B25)</f>
        <v>31</v>
      </c>
      <c r="D25" s="11" t="n">
        <f aca="false">COUNTIFS(Candidates!$D$2:$D$98,B25,Candidates!$Q$2:$Q$98,"Hired")</f>
        <v>14</v>
      </c>
      <c r="E25" s="12" t="n">
        <f aca="false">D25/C25</f>
        <v>0.451612903225806</v>
      </c>
    </row>
    <row r="26" customFormat="false" ht="15" hidden="false" customHeight="false" outlineLevel="0" collapsed="false">
      <c r="B26" s="11" t="s">
        <v>60</v>
      </c>
      <c r="C26" s="11" t="n">
        <f aca="false">COUNTIF(Candidates!$D$2:$D$98,B26)</f>
        <v>15</v>
      </c>
      <c r="D26" s="11" t="n">
        <f aca="false">COUNTIFS(Candidates!$D$2:$D$98,B26,Candidates!$Q$2:$Q$98,"Hired")</f>
        <v>6</v>
      </c>
      <c r="E26" s="12" t="n">
        <f aca="false">D26/C26</f>
        <v>0.4</v>
      </c>
    </row>
    <row r="27" customFormat="false" ht="15" hidden="false" customHeight="false" outlineLevel="0" collapsed="false">
      <c r="B27" s="11" t="s">
        <v>64</v>
      </c>
      <c r="C27" s="11" t="n">
        <f aca="false">COUNTIF(Candidates!$D$2:$D$98,B27)</f>
        <v>4</v>
      </c>
      <c r="D27" s="11" t="n">
        <f aca="false">COUNTIFS(Candidates!$D$2:$D$98,B27,Candidates!$Q$2:$Q$98,"Hired")</f>
        <v>3</v>
      </c>
      <c r="E27" s="12" t="n">
        <f aca="false">D27/C27</f>
        <v>0.75</v>
      </c>
    </row>
    <row r="29" customFormat="false" ht="15" hidden="false" customHeight="false" outlineLevel="0" collapsed="false">
      <c r="B29" s="6" t="s">
        <v>293</v>
      </c>
    </row>
    <row r="30" customFormat="false" ht="15" hidden="false" customHeight="false" outlineLevel="0" collapsed="false">
      <c r="B30" s="7" t="s">
        <v>4</v>
      </c>
      <c r="C30" s="7" t="s">
        <v>294</v>
      </c>
      <c r="D30" s="7" t="s">
        <v>295</v>
      </c>
    </row>
    <row r="31" customFormat="false" ht="15" hidden="false" customHeight="false" outlineLevel="0" collapsed="false">
      <c r="B31" s="11" t="s">
        <v>31</v>
      </c>
      <c r="C31" s="11" t="n">
        <f aca="false">COUNTIFS(Candidates!$E$2:$E$98,B31,Candidates!$P$2:$P$98,"&lt;&gt;Hired",Candidates!$P$2:$P$98,"&lt;&gt;Rejected")</f>
        <v>0</v>
      </c>
      <c r="D31" s="11" t="n">
        <f aca="false">COUNTIF(Candidates!$E$2:$E$98,B31)</f>
        <v>21</v>
      </c>
    </row>
    <row r="32" customFormat="false" ht="15" hidden="false" customHeight="false" outlineLevel="0" collapsed="false">
      <c r="B32" s="11" t="s">
        <v>57</v>
      </c>
      <c r="C32" s="11" t="n">
        <f aca="false">COUNTIFS(Candidates!$E$2:$E$98,B32,Candidates!$P$2:$P$98,"&lt;&gt;Hired",Candidates!$P$2:$P$98,"&lt;&gt;Rejected")</f>
        <v>0</v>
      </c>
      <c r="D32" s="11" t="n">
        <f aca="false">COUNTIF(Candidates!$E$2:$E$98,B32)</f>
        <v>46</v>
      </c>
    </row>
    <row r="33" customFormat="false" ht="15" hidden="false" customHeight="false" outlineLevel="0" collapsed="false">
      <c r="B33" s="11" t="s">
        <v>239</v>
      </c>
      <c r="C33" s="11" t="n">
        <f aca="false">COUNTIFS(Candidates!$E$2:$E$98,B33,Candidates!$P$2:$P$98,"&lt;&gt;Hired",Candidates!$P$2:$P$98,"&lt;&gt;Rejected")</f>
        <v>0</v>
      </c>
      <c r="D33" s="11" t="n">
        <f aca="false">COUNTIF(Candidates!$E$2:$E$98,B33)</f>
        <v>9</v>
      </c>
    </row>
    <row r="34" customFormat="false" ht="15" hidden="false" customHeight="false" outlineLevel="0" collapsed="false">
      <c r="B34" s="11" t="s">
        <v>171</v>
      </c>
      <c r="C34" s="11" t="n">
        <f aca="false">COUNTIFS(Candidates!$E$2:$E$98,B34,Candidates!$P$2:$P$98,"&lt;&gt;Hired",Candidates!$P$2:$P$98,"&lt;&gt;Rejected")</f>
        <v>0</v>
      </c>
      <c r="D34" s="11" t="n">
        <f aca="false">COUNTIF(Candidates!$E$2:$E$98,B34)</f>
        <v>21</v>
      </c>
    </row>
    <row r="35" customFormat="false" ht="15" hidden="false" customHeight="false" outlineLevel="0" collapsed="false">
      <c r="B35" s="11" t="s">
        <v>296</v>
      </c>
      <c r="C35" s="11" t="n">
        <f aca="false">COUNTIFS(Candidates!$E$2:$E$98,B35,Candidates!$P$2:$P$98,"&lt;&gt;Hired",Candidates!$P$2:$P$98,"&lt;&gt;Rejected")</f>
        <v>0</v>
      </c>
      <c r="D35" s="11" t="n">
        <f aca="false">COUNTIF(Candidates!$E$2:$E$98,B35)</f>
        <v>0</v>
      </c>
    </row>
    <row r="37" customFormat="false" ht="15" hidden="false" customHeight="false" outlineLevel="0" collapsed="false">
      <c r="B37" s="6" t="s">
        <v>297</v>
      </c>
    </row>
    <row r="38" customFormat="false" ht="15" hidden="false" customHeight="false" outlineLevel="0" collapsed="false">
      <c r="B38" s="7" t="s">
        <v>298</v>
      </c>
      <c r="C38" s="7" t="s">
        <v>299</v>
      </c>
      <c r="D38" s="7" t="s">
        <v>300</v>
      </c>
    </row>
    <row r="39" customFormat="false" ht="15" hidden="false" customHeight="false" outlineLevel="0" collapsed="false">
      <c r="B39" s="11" t="s">
        <v>33</v>
      </c>
      <c r="C39" s="11" t="n">
        <f aca="false">COUNTIF(Candidates!$R$2:$R$98,B39)</f>
        <v>18</v>
      </c>
      <c r="D39" s="12" t="n">
        <f aca="false">C39/$C$44</f>
        <v>0.310344827586207</v>
      </c>
    </row>
    <row r="40" customFormat="false" ht="15" hidden="false" customHeight="false" outlineLevel="0" collapsed="false">
      <c r="B40" s="11" t="s">
        <v>84</v>
      </c>
      <c r="C40" s="11" t="n">
        <f aca="false">COUNTIF(Candidates!$R$2:$R$98,B40)</f>
        <v>13</v>
      </c>
      <c r="D40" s="12" t="n">
        <f aca="false">C40/$C$44</f>
        <v>0.224137931034483</v>
      </c>
    </row>
    <row r="41" customFormat="false" ht="15" hidden="false" customHeight="false" outlineLevel="0" collapsed="false">
      <c r="B41" s="11" t="s">
        <v>41</v>
      </c>
      <c r="C41" s="11" t="n">
        <f aca="false">COUNTIF(Candidates!$R$2:$R$98,B41)</f>
        <v>20</v>
      </c>
      <c r="D41" s="12" t="n">
        <f aca="false">C41/$C$44</f>
        <v>0.344827586206897</v>
      </c>
    </row>
    <row r="42" customFormat="false" ht="15" hidden="false" customHeight="false" outlineLevel="0" collapsed="false">
      <c r="B42" s="11" t="s">
        <v>49</v>
      </c>
      <c r="C42" s="11" t="n">
        <f aca="false">COUNTIF(Candidates!$R$2:$R$98,B42)</f>
        <v>5</v>
      </c>
      <c r="D42" s="12" t="n">
        <f aca="false">C42/$C$44</f>
        <v>0.0862068965517241</v>
      </c>
    </row>
    <row r="43" customFormat="false" ht="15" hidden="false" customHeight="false" outlineLevel="0" collapsed="false">
      <c r="B43" s="11" t="s">
        <v>111</v>
      </c>
      <c r="C43" s="11" t="n">
        <f aca="false">COUNTIF(Candidates!$R$2:$R$98,B43)</f>
        <v>2</v>
      </c>
      <c r="D43" s="12" t="n">
        <f aca="false">C43/$C$44</f>
        <v>0.0344827586206897</v>
      </c>
    </row>
    <row r="44" customFormat="false" ht="15" hidden="false" customHeight="false" outlineLevel="0" collapsed="false">
      <c r="B44" s="7" t="s">
        <v>301</v>
      </c>
      <c r="C44" s="7" t="n">
        <f aca="false">COUNTIF(Candidates!$Q$2:$Q$98,"Rejected")</f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18"/>
    <col collapsed="false" customWidth="true" hidden="false" outlineLevel="0" max="6" min="6" style="0" width="20"/>
  </cols>
  <sheetData>
    <row r="2" customFormat="false" ht="17.35" hidden="false" customHeight="false" outlineLevel="0" collapsed="false">
      <c r="B2" s="4" t="s">
        <v>302</v>
      </c>
    </row>
    <row r="3" customFormat="false" ht="15" hidden="false" customHeight="false" outlineLevel="0" collapsed="false">
      <c r="B3" s="5" t="s">
        <v>303</v>
      </c>
    </row>
    <row r="5" customFormat="false" ht="23.85" hidden="false" customHeight="false" outlineLevel="0" collapsed="false">
      <c r="B5" s="13" t="s">
        <v>304</v>
      </c>
      <c r="C5" s="13" t="s">
        <v>305</v>
      </c>
      <c r="D5" s="13" t="s">
        <v>306</v>
      </c>
      <c r="E5" s="13" t="s">
        <v>307</v>
      </c>
      <c r="F5" s="13" t="s">
        <v>308</v>
      </c>
    </row>
    <row r="6" customFormat="false" ht="15" hidden="false" customHeight="false" outlineLevel="0" collapsed="false">
      <c r="B6" s="11" t="s">
        <v>309</v>
      </c>
      <c r="C6" s="14" t="n">
        <f aca="false">AVERAGE(Candidates!$U$2:$U$98)</f>
        <v>3.08247422680412</v>
      </c>
      <c r="D6" s="15" t="n">
        <f aca="false">MAX(Candidates!$U$2:$U$98)</f>
        <v>5</v>
      </c>
      <c r="E6" s="15" t="n">
        <f aca="false">COUNTIF(Candidates!$U$2:$U$98,"&gt;=10")</f>
        <v>0</v>
      </c>
      <c r="F6" s="16" t="n">
        <f aca="false">E6/COUNT(Candidates!$U$2:$U$98)</f>
        <v>0</v>
      </c>
    </row>
    <row r="8" customFormat="false" ht="15" hidden="false" customHeight="false" outlineLevel="0" collapsed="false">
      <c r="B8" s="11" t="s">
        <v>310</v>
      </c>
      <c r="C8" s="14" t="n">
        <f aca="false">AVERAGE(Candidates!$V$2:$V$98)</f>
        <v>4.34177215189873</v>
      </c>
      <c r="D8" s="15" t="n">
        <f aca="false">MAX(Candidates!$V$2:$V$98)</f>
        <v>6</v>
      </c>
      <c r="E8" s="15" t="n">
        <f aca="false">COUNTIF(Candidates!$V$2:$V$98,"&gt;=10")</f>
        <v>0</v>
      </c>
      <c r="F8" s="16" t="n">
        <f aca="false">E8/COUNT(Candidates!$V$2:$V$98)</f>
        <v>0</v>
      </c>
    </row>
    <row r="10" customFormat="false" ht="15" hidden="false" customHeight="false" outlineLevel="0" collapsed="false">
      <c r="B10" s="11" t="s">
        <v>311</v>
      </c>
      <c r="C10" s="14" t="n">
        <f aca="false">AVERAGE(Candidates!$W$2:$W$98)</f>
        <v>9.09090909090909</v>
      </c>
      <c r="D10" s="15" t="n">
        <f aca="false">MAX(Candidates!$W$2:$W$98)</f>
        <v>19</v>
      </c>
      <c r="E10" s="15" t="n">
        <f aca="false">COUNTIF(Candidates!$W$2:$W$98,"&gt;=10")</f>
        <v>33</v>
      </c>
      <c r="F10" s="16" t="n">
        <f aca="false">E10/COUNT(Candidates!$W$2:$W$98)</f>
        <v>0.5</v>
      </c>
    </row>
    <row r="12" customFormat="false" ht="15" hidden="false" customHeight="false" outlineLevel="0" collapsed="false">
      <c r="B12" s="11" t="s">
        <v>312</v>
      </c>
      <c r="C12" s="14" t="n">
        <f aca="false">AVERAGE(Candidates!$X$2:$X$98)</f>
        <v>3.12121212121212</v>
      </c>
      <c r="D12" s="15" t="n">
        <f aca="false">MAX(Candidates!$X$2:$X$98)</f>
        <v>6</v>
      </c>
      <c r="E12" s="15" t="n">
        <f aca="false">COUNTIF(Candidates!$X$2:$X$98,"&gt;=10")</f>
        <v>0</v>
      </c>
      <c r="F12" s="16" t="n">
        <f aca="false">E12/COUNT(Candidates!$X$2:$X$98)</f>
        <v>0</v>
      </c>
    </row>
    <row r="14" customFormat="false" ht="15" hidden="false" customHeight="false" outlineLevel="0" collapsed="false">
      <c r="B14" s="11" t="s">
        <v>313</v>
      </c>
      <c r="C14" s="14" t="n">
        <f aca="false">AVERAGE(Candidates!$Y$2:$Y$98)</f>
        <v>5.28260869565217</v>
      </c>
      <c r="D14" s="15" t="n">
        <f aca="false">MAX(Candidates!$Y$2:$Y$98)</f>
        <v>8</v>
      </c>
      <c r="E14" s="15" t="n">
        <f aca="false">COUNTIF(Candidates!$Y$2:$Y$98,"&gt;=10")</f>
        <v>0</v>
      </c>
      <c r="F14" s="16" t="n">
        <f aca="false">E14/COUNT(Candidates!$Y$2:$Y$98)</f>
        <v>0</v>
      </c>
    </row>
    <row r="16" customFormat="false" ht="15" hidden="false" customHeight="false" outlineLevel="0" collapsed="false">
      <c r="B16" s="11" t="s">
        <v>314</v>
      </c>
      <c r="C16" s="14" t="n">
        <f aca="false">AVERAGE(Candidates!$Z$2:$Z$98)</f>
        <v>5.91304347826087</v>
      </c>
      <c r="D16" s="15" t="n">
        <f aca="false">MAX(Candidates!$Z$2:$Z$98)</f>
        <v>10</v>
      </c>
      <c r="E16" s="15" t="n">
        <f aca="false">COUNTIF(Candidates!$Z$2:$Z$98,"&gt;=10")</f>
        <v>4</v>
      </c>
      <c r="F16" s="16" t="n">
        <f aca="false">E16/COUNT(Candidates!$Z$2:$Z$98)</f>
        <v>0.0869565217391304</v>
      </c>
    </row>
    <row r="18" customFormat="false" ht="15" hidden="false" customHeight="false" outlineLevel="0" collapsed="false">
      <c r="B18" s="11" t="s">
        <v>315</v>
      </c>
      <c r="C18" s="14" t="n">
        <f aca="false">AVERAGE(Candidates!$AA$2:$AA$98)</f>
        <v>7.07317073170732</v>
      </c>
      <c r="D18" s="15" t="n">
        <f aca="false">MAX(Candidates!$AA$2:$AA$98)</f>
        <v>10</v>
      </c>
      <c r="E18" s="15" t="n">
        <f aca="false">COUNTIF(Candidates!$AA$2:$AA$98,"&gt;=10")</f>
        <v>8</v>
      </c>
      <c r="F18" s="16" t="n">
        <f aca="false">E18/COUNT(Candidates!$AA$2:$AA$98)</f>
        <v>0.195121951219512</v>
      </c>
    </row>
    <row r="20" customFormat="false" ht="15" hidden="false" customHeight="false" outlineLevel="0" collapsed="false">
      <c r="B20" s="11" t="s">
        <v>316</v>
      </c>
      <c r="C20" s="14" t="n">
        <f aca="false">AVERAGE(Candidates!$AB$2:$AB$98)</f>
        <v>3.61538461538462</v>
      </c>
      <c r="D20" s="15" t="n">
        <f aca="false">MAX(Candidates!$AB$2:$AB$98)</f>
        <v>5</v>
      </c>
      <c r="E20" s="15" t="n">
        <f aca="false">COUNTIF(Candidates!$AB$2:$AB$98,"&gt;=10")</f>
        <v>0</v>
      </c>
      <c r="F20" s="16" t="n">
        <f aca="false">E20/COUNT(Candidates!$AB$2:$AB$98)</f>
        <v>0</v>
      </c>
    </row>
    <row r="23" customFormat="false" ht="15" hidden="false" customHeight="false" outlineLevel="0" collapsed="false">
      <c r="B23" s="17" t="s">
        <v>317</v>
      </c>
    </row>
    <row r="24" customFormat="false" ht="45" hidden="false" customHeight="true" outlineLevel="0" collapsed="false">
      <c r="B24" s="18" t="s">
        <v>318</v>
      </c>
      <c r="C24" s="18"/>
      <c r="D24" s="18"/>
      <c r="E24" s="18"/>
      <c r="F24" s="18"/>
    </row>
  </sheetData>
  <mergeCells count="1"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2026-08-18T02:18:51Z</dcterms:created>
  <dc:creator>openpyxl</dc:creator>
  <dc:description/>
  <dc:language>en-US</dc:language>
  <cp:lastModifiedBy/>
  <dcterms:modified xsi:type="dcterms:W3CDTF">2026-08-18T02:18:51Z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